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料档案表" state="visible" r:id="rId4"/>
    <sheet sheetId="2" name="入库记录表" state="visible" r:id="rId5"/>
    <sheet sheetId="3" name="出库记录表" state="visible" r:id="rId6"/>
    <sheet sheetId="4" name="实时库存余额表" state="visible" r:id="rId7"/>
  </sheets>
  <calcPr calcId="171027"/>
</workbook>
</file>

<file path=xl/sharedStrings.xml><?xml version="1.0" encoding="utf-8"?>
<sst xmlns="http://schemas.openxmlformats.org/spreadsheetml/2006/main" count="253" uniqueCount="106">
  <si>
    <t>物料编码</t>
  </si>
  <si>
    <t>货物名称</t>
  </si>
  <si>
    <t>规格及材质</t>
  </si>
  <si>
    <t>单位</t>
  </si>
  <si>
    <t>适用成品</t>
  </si>
  <si>
    <t>物料大类</t>
  </si>
  <si>
    <t>备注说明</t>
  </si>
  <si>
    <t>CL-001</t>
  </si>
  <si>
    <t>铝管</t>
  </si>
  <si>
    <t>6063铝 25mm×1m</t>
  </si>
  <si>
    <t>米</t>
  </si>
  <si>
    <t>A款/E款</t>
  </si>
  <si>
    <t>原材料</t>
  </si>
  <si>
    <t/>
  </si>
  <si>
    <t>CL-002</t>
  </si>
  <si>
    <t>铝轴</t>
  </si>
  <si>
    <t>φ8mm</t>
  </si>
  <si>
    <t>件</t>
  </si>
  <si>
    <t>A款/B款</t>
  </si>
  <si>
    <t>CL-003</t>
  </si>
  <si>
    <t>不锈钢外壳</t>
  </si>
  <si>
    <t>304不锈钢</t>
  </si>
  <si>
    <t>M金属款</t>
  </si>
  <si>
    <t>CL-004</t>
  </si>
  <si>
    <t>拉簧</t>
  </si>
  <si>
    <t>线径1.2mm 长50mm</t>
  </si>
  <si>
    <t>个</t>
  </si>
  <si>
    <t>CL-005</t>
  </si>
  <si>
    <t>压簧</t>
  </si>
  <si>
    <t>线径1.5mm 长30mm</t>
  </si>
  <si>
    <t>E款</t>
  </si>
  <si>
    <t>CL-006</t>
  </si>
  <si>
    <t>磁铁</t>
  </si>
  <si>
    <t>D6×2mm 强磁</t>
  </si>
  <si>
    <t>片</t>
  </si>
  <si>
    <t>多成品通用物料</t>
  </si>
  <si>
    <t>CL-007</t>
  </si>
  <si>
    <t>硅胶吸盘</t>
  </si>
  <si>
    <t>直径20mm</t>
  </si>
  <si>
    <t>BZ-001</t>
  </si>
  <si>
    <t>彩盒</t>
  </si>
  <si>
    <t>A款专用彩盒</t>
  </si>
  <si>
    <t>A款</t>
  </si>
  <si>
    <t>包装辅料</t>
  </si>
  <si>
    <t>BZ-002</t>
  </si>
  <si>
    <t>外箱</t>
  </si>
  <si>
    <t>五层瓦楞 60×40×30cm</t>
  </si>
  <si>
    <t>通用</t>
  </si>
  <si>
    <t>BZ-003</t>
  </si>
  <si>
    <t>快递盒</t>
  </si>
  <si>
    <t>13号 17×12×10cm</t>
  </si>
  <si>
    <t>BZ-004</t>
  </si>
  <si>
    <t>磨砂袋</t>
  </si>
  <si>
    <t>A4磨砂</t>
  </si>
  <si>
    <t>BZ-005</t>
  </si>
  <si>
    <t>气泡袋</t>
  </si>
  <si>
    <t>20×30cm</t>
  </si>
  <si>
    <t>BZ-006</t>
  </si>
  <si>
    <t>说明书</t>
  </si>
  <si>
    <t>中文版 4页</t>
  </si>
  <si>
    <t>本</t>
  </si>
  <si>
    <t>BZ-007</t>
  </si>
  <si>
    <t>子扣</t>
  </si>
  <si>
    <t>通用子扣</t>
  </si>
  <si>
    <t>A款/B款/E款</t>
  </si>
  <si>
    <t>BZ-008</t>
  </si>
  <si>
    <t>保鲜膜</t>
  </si>
  <si>
    <t>单卷 50米</t>
  </si>
  <si>
    <t>卷</t>
  </si>
  <si>
    <t>BZ-009</t>
  </si>
  <si>
    <t>导轨条</t>
  </si>
  <si>
    <t>1m通用导轨</t>
  </si>
  <si>
    <t>根</t>
  </si>
  <si>
    <t>A款/B款/E款/M款</t>
  </si>
  <si>
    <t>WL-001</t>
  </si>
  <si>
    <t>安鼎螺钉</t>
  </si>
  <si>
    <t>M3×6</t>
  </si>
  <si>
    <t>配套小件</t>
  </si>
  <si>
    <t>安鼎物料</t>
  </si>
  <si>
    <t>WL-002</t>
  </si>
  <si>
    <t>安鼎垫圈</t>
  </si>
  <si>
    <t>φ4</t>
  </si>
  <si>
    <t>日期</t>
  </si>
  <si>
    <t>成品</t>
  </si>
  <si>
    <t>数量</t>
  </si>
  <si>
    <t>备注</t>
  </si>
  <si>
    <t>A款 B款</t>
  </si>
  <si>
    <t>D6*2</t>
  </si>
  <si>
    <t>首批采购</t>
  </si>
  <si>
    <t>通用款</t>
  </si>
  <si>
    <t>6*6CM</t>
  </si>
  <si>
    <t>包</t>
  </si>
  <si>
    <t>牙线盒</t>
  </si>
  <si>
    <t>出库日期</t>
  </si>
  <si>
    <t>出库方向</t>
  </si>
  <si>
    <t>出库数量</t>
  </si>
  <si>
    <t>出库备注</t>
  </si>
  <si>
    <t>A 款生产</t>
  </si>
  <si>
    <t>车间领用</t>
  </si>
  <si>
    <t>打包发货</t>
  </si>
  <si>
    <t>发A款订单</t>
  </si>
  <si>
    <t>期初库存</t>
  </si>
  <si>
    <t>本期总入库</t>
  </si>
  <si>
    <t>本期总出库</t>
  </si>
  <si>
    <t>当前剩余库存</t>
  </si>
  <si>
    <t>库存状态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</si>
</sst>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6" customWidth="1"/>
    <col min="4" max="4" width="8" customWidth="1"/>
    <col min="5" max="5" width="20" customWidth="1"/>
    <col min="6" max="6" width="12" customWidth="1"/>
    <col min="7" max="7" width="22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17</v>
      </c>
      <c r="E4" t="s">
        <v>22</v>
      </c>
      <c r="F4" t="s">
        <v>12</v>
      </c>
      <c r="G4" t="s">
        <v>13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18</v>
      </c>
      <c r="F5" t="s">
        <v>12</v>
      </c>
      <c r="G5" t="s">
        <v>13</v>
      </c>
    </row>
    <row r="6" spans="1:7" x14ac:dyDescent="0.25">
      <c r="A6" t="s">
        <v>27</v>
      </c>
      <c r="B6" t="s">
        <v>28</v>
      </c>
      <c r="C6" t="s">
        <v>29</v>
      </c>
      <c r="D6" t="s">
        <v>26</v>
      </c>
      <c r="E6" t="s">
        <v>30</v>
      </c>
      <c r="F6" t="s">
        <v>12</v>
      </c>
      <c r="G6" t="s">
        <v>13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18</v>
      </c>
      <c r="F7" t="s">
        <v>12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t="s">
        <v>26</v>
      </c>
      <c r="E8" t="s">
        <v>22</v>
      </c>
      <c r="F8" t="s">
        <v>12</v>
      </c>
      <c r="G8" t="s">
        <v>13</v>
      </c>
    </row>
    <row r="9" spans="1:7" x14ac:dyDescent="0.25">
      <c r="A9" t="s">
        <v>39</v>
      </c>
      <c r="B9" t="s">
        <v>40</v>
      </c>
      <c r="C9" t="s">
        <v>41</v>
      </c>
      <c r="D9" t="s">
        <v>26</v>
      </c>
      <c r="E9" t="s">
        <v>42</v>
      </c>
      <c r="F9" t="s">
        <v>43</v>
      </c>
      <c r="G9" t="s">
        <v>13</v>
      </c>
    </row>
    <row r="10" spans="1:7" x14ac:dyDescent="0.25">
      <c r="A10" t="s">
        <v>44</v>
      </c>
      <c r="B10" t="s">
        <v>45</v>
      </c>
      <c r="C10" t="s">
        <v>46</v>
      </c>
      <c r="D10" t="s">
        <v>26</v>
      </c>
      <c r="E10" t="s">
        <v>47</v>
      </c>
      <c r="F10" t="s">
        <v>43</v>
      </c>
      <c r="G10" t="s">
        <v>35</v>
      </c>
    </row>
    <row r="11" spans="1:7" x14ac:dyDescent="0.25">
      <c r="A11" t="s">
        <v>48</v>
      </c>
      <c r="B11" t="s">
        <v>49</v>
      </c>
      <c r="C11" t="s">
        <v>50</v>
      </c>
      <c r="D11" t="s">
        <v>26</v>
      </c>
      <c r="E11" t="s">
        <v>47</v>
      </c>
      <c r="F11" t="s">
        <v>43</v>
      </c>
      <c r="G11" t="s">
        <v>35</v>
      </c>
    </row>
    <row r="12" spans="1:7" x14ac:dyDescent="0.25">
      <c r="A12" t="s">
        <v>51</v>
      </c>
      <c r="B12" t="s">
        <v>52</v>
      </c>
      <c r="C12" t="s">
        <v>53</v>
      </c>
      <c r="D12" t="s">
        <v>26</v>
      </c>
      <c r="E12" t="s">
        <v>47</v>
      </c>
      <c r="F12" t="s">
        <v>43</v>
      </c>
      <c r="G12" t="s">
        <v>35</v>
      </c>
    </row>
    <row r="13" spans="1:7" x14ac:dyDescent="0.25">
      <c r="A13" t="s">
        <v>54</v>
      </c>
      <c r="B13" t="s">
        <v>55</v>
      </c>
      <c r="C13" t="s">
        <v>56</v>
      </c>
      <c r="D13" t="s">
        <v>26</v>
      </c>
      <c r="E13" t="s">
        <v>47</v>
      </c>
      <c r="F13" t="s">
        <v>43</v>
      </c>
      <c r="G13" t="s">
        <v>35</v>
      </c>
    </row>
    <row r="14" spans="1:7" x14ac:dyDescent="0.25">
      <c r="A14" t="s">
        <v>57</v>
      </c>
      <c r="B14" t="s">
        <v>58</v>
      </c>
      <c r="C14" t="s">
        <v>59</v>
      </c>
      <c r="D14" t="s">
        <v>60</v>
      </c>
      <c r="E14" t="s">
        <v>47</v>
      </c>
      <c r="F14" t="s">
        <v>43</v>
      </c>
      <c r="G14" t="s">
        <v>35</v>
      </c>
    </row>
    <row r="15" spans="1:7" x14ac:dyDescent="0.25">
      <c r="A15" t="s">
        <v>61</v>
      </c>
      <c r="B15" t="s">
        <v>62</v>
      </c>
      <c r="C15" t="s">
        <v>63</v>
      </c>
      <c r="D15" t="s">
        <v>26</v>
      </c>
      <c r="E15" t="s">
        <v>64</v>
      </c>
      <c r="F15" t="s">
        <v>43</v>
      </c>
      <c r="G15" t="s">
        <v>35</v>
      </c>
    </row>
    <row r="16" spans="1:7" x14ac:dyDescent="0.25">
      <c r="A16" t="s">
        <v>65</v>
      </c>
      <c r="B16" t="s">
        <v>66</v>
      </c>
      <c r="C16" t="s">
        <v>67</v>
      </c>
      <c r="D16" t="s">
        <v>68</v>
      </c>
      <c r="E16" t="s">
        <v>47</v>
      </c>
      <c r="F16" t="s">
        <v>43</v>
      </c>
      <c r="G16" t="s">
        <v>35</v>
      </c>
    </row>
    <row r="17" spans="1:7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43</v>
      </c>
      <c r="G17" t="s">
        <v>35</v>
      </c>
    </row>
    <row r="18" spans="1:7" x14ac:dyDescent="0.25">
      <c r="A18" t="s">
        <v>74</v>
      </c>
      <c r="B18" t="s">
        <v>75</v>
      </c>
      <c r="C18" t="s">
        <v>76</v>
      </c>
      <c r="D18" t="s">
        <v>26</v>
      </c>
      <c r="E18" t="s">
        <v>47</v>
      </c>
      <c r="F18" t="s">
        <v>77</v>
      </c>
      <c r="G18" t="s">
        <v>78</v>
      </c>
    </row>
    <row r="19" spans="1:7" x14ac:dyDescent="0.25">
      <c r="A19" t="s">
        <v>79</v>
      </c>
      <c r="B19" t="s">
        <v>80</v>
      </c>
      <c r="C19" t="s">
        <v>81</v>
      </c>
      <c r="D19" t="s">
        <v>26</v>
      </c>
      <c r="E19" t="s">
        <v>47</v>
      </c>
      <c r="F19" t="s">
        <v>77</v>
      </c>
      <c r="G1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2" customWidth="1"/>
    <col min="2" max="2" width="18" customWidth="1"/>
    <col min="3" max="3" width="16" customWidth="1"/>
    <col min="4" max="4" width="26" customWidth="1"/>
    <col min="5" max="5" width="8" customWidth="1"/>
    <col min="6" max="6" width="11" customWidth="1"/>
    <col min="7" max="7" width="22" customWidth="1"/>
  </cols>
  <sheetData>
    <row r="1" ht="22" customHeight="1" spans="1:7" s="1" customFormat="1" x14ac:dyDescent="0.25">
      <c r="A1" s="3" t="s">
        <v>82</v>
      </c>
      <c r="B1" s="1" t="s">
        <v>83</v>
      </c>
      <c r="C1" s="1" t="s">
        <v>1</v>
      </c>
      <c r="D1" s="1" t="s">
        <v>2</v>
      </c>
      <c r="E1" s="1" t="s">
        <v>3</v>
      </c>
      <c r="F1" s="1" t="s">
        <v>84</v>
      </c>
      <c r="G1" s="1" t="s">
        <v>85</v>
      </c>
    </row>
    <row r="2" spans="1:7" x14ac:dyDescent="0.25">
      <c r="A2" s="2">
        <v>46241.66666666667</v>
      </c>
      <c r="B2" t="s">
        <v>86</v>
      </c>
      <c r="C2" t="s">
        <v>32</v>
      </c>
      <c r="D2" t="s">
        <v>87</v>
      </c>
      <c r="E2" t="s">
        <v>34</v>
      </c>
      <c r="F2">
        <v>10000</v>
      </c>
      <c r="G2" t="s">
        <v>88</v>
      </c>
    </row>
    <row r="3" spans="1:7" x14ac:dyDescent="0.25">
      <c r="A3" s="2">
        <v>46241.66666666667</v>
      </c>
      <c r="B3" t="s">
        <v>89</v>
      </c>
      <c r="C3" t="s">
        <v>62</v>
      </c>
      <c r="D3" t="s">
        <v>90</v>
      </c>
      <c r="E3" t="s">
        <v>91</v>
      </c>
      <c r="F3">
        <v>5000</v>
      </c>
      <c r="G3" t="s">
        <v>13</v>
      </c>
    </row>
    <row r="4" spans="1:7" x14ac:dyDescent="0.25">
      <c r="A4" s="2">
        <v>46242.66666666667</v>
      </c>
      <c r="B4" t="s">
        <v>92</v>
      </c>
      <c r="C4" t="s">
        <v>52</v>
      </c>
      <c r="D4" t="s">
        <v>92</v>
      </c>
      <c r="E4" t="s">
        <v>26</v>
      </c>
      <c r="F4">
        <v>20000</v>
      </c>
      <c r="G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2" customWidth="1"/>
    <col min="2" max="2" width="18" customWidth="1"/>
    <col min="3" max="3" width="16" customWidth="1"/>
    <col min="4" max="4" width="26" customWidth="1"/>
    <col min="5" max="5" width="8" customWidth="1"/>
    <col min="6" max="6" width="11" customWidth="1"/>
    <col min="7" max="7" width="22" customWidth="1"/>
  </cols>
  <sheetData>
    <row r="1" ht="22" customHeight="1" spans="1:7" s="1" customFormat="1" x14ac:dyDescent="0.25">
      <c r="A1" s="3" t="s">
        <v>93</v>
      </c>
      <c r="B1" s="1" t="s">
        <v>94</v>
      </c>
      <c r="C1" s="1" t="s">
        <v>1</v>
      </c>
      <c r="D1" s="1" t="s">
        <v>2</v>
      </c>
      <c r="E1" s="1" t="s">
        <v>3</v>
      </c>
      <c r="F1" s="1" t="s">
        <v>95</v>
      </c>
      <c r="G1" s="1" t="s">
        <v>96</v>
      </c>
    </row>
    <row r="2" spans="1:7" x14ac:dyDescent="0.25">
      <c r="A2" s="2">
        <v>46242.66666666667</v>
      </c>
      <c r="B2" t="s">
        <v>97</v>
      </c>
      <c r="C2" t="s">
        <v>32</v>
      </c>
      <c r="D2" t="s">
        <v>87</v>
      </c>
      <c r="E2" t="s">
        <v>34</v>
      </c>
      <c r="F2">
        <v>1000</v>
      </c>
      <c r="G2" t="s">
        <v>98</v>
      </c>
    </row>
    <row r="3" spans="1:7" x14ac:dyDescent="0.25">
      <c r="A3" s="2">
        <v>46243.66666666667</v>
      </c>
      <c r="B3" t="s">
        <v>99</v>
      </c>
      <c r="C3" t="s">
        <v>52</v>
      </c>
      <c r="D3" t="s">
        <v>92</v>
      </c>
      <c r="E3" t="s">
        <v>26</v>
      </c>
      <c r="F3">
        <v>5000</v>
      </c>
      <c r="G3" t="s">
        <v>100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</sheetData>
  <dataValidations count="2">
    <dataValidation type="list" allowBlank="1" showErrorMessage="1" errorTitle="无效出库方向" error="请从下拉选项中选择出库方向" sqref="B10:B200">
      <formula1>"A 款生产,B 款生产,E 款生产,M 金属款生产,打包发货,样品外发,退换货"</formula1>
    </dataValidation>
    <dataValidation type="list" allowBlank="1" showErrorMessage="1" errorTitle="无效出库方向" error="请从下拉选项中选择出库方向" sqref="B2:B200">
      <formula1>"A 款生产,B 款生产,E 款生产,M 金属款生产,打包发货,样品外发,退换货"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8" customWidth="1"/>
    <col min="4" max="4" width="20" customWidth="1"/>
    <col min="5" max="5" width="11" customWidth="1"/>
    <col min="6" max="7" width="12" customWidth="1"/>
    <col min="8" max="8" width="13" customWidth="1"/>
    <col min="9" max="9" width="12" customWidth="1"/>
  </cols>
  <sheetData>
    <row r="1" ht="22" customHeight="1" spans="1:9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>
        <v>100</v>
      </c>
      <c r="F2">
        <f>SUMIFS('入库记录表'!$F:$F,'入库记录表'!$C:$C,$A2,'入库记录表'!$D:$D,$B2,'入库记录表'!$E:$E,$C2)</f>
      </c>
      <c r="G2">
        <f>SUMIFS('出库记录表'!$F:$F,'出库记录表'!$C:$C,$A2,'出库记录表'!$D:$D,$B2,'出库记录表'!$E:$E,$C2)</f>
      </c>
      <c r="H2">
        <f>E2+F2-G2</f>
      </c>
      <c r="I2">
        <f>IF(H2&lt;0,"库存预警",IF(H2=0,"无库存","库存充足"))</f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>
        <v>80</v>
      </c>
      <c r="F3">
        <f>SUMIFS('入库记录表'!$F:$F,'入库记录表'!$C:$C,$A3,'入库记录表'!$D:$D,$B3,'入库记录表'!$E:$E,$C3)</f>
      </c>
      <c r="G3">
        <f>SUMIFS('出库记录表'!$F:$F,'出库记录表'!$C:$C,$A3,'出库记录表'!$D:$D,$B3,'出库记录表'!$E:$E,$C3)</f>
      </c>
      <c r="H3">
        <f>E3+F3-G3</f>
      </c>
      <c r="I3">
        <f>IF(H3&lt;0,"库存预警",IF(H3=0,"无库存","库存充足"))</f>
      </c>
    </row>
    <row r="4" spans="1:9" x14ac:dyDescent="0.25">
      <c r="A4" t="s">
        <v>20</v>
      </c>
      <c r="B4" t="s">
        <v>21</v>
      </c>
      <c r="C4" t="s">
        <v>17</v>
      </c>
      <c r="D4" t="s">
        <v>22</v>
      </c>
      <c r="E4">
        <v>60</v>
      </c>
      <c r="F4">
        <f>SUMIFS('入库记录表'!$F:$F,'入库记录表'!$C:$C,$A4,'入库记录表'!$D:$D,$B4,'入库记录表'!$E:$E,$C4)</f>
      </c>
      <c r="G4">
        <f>SUMIFS('出库记录表'!$F:$F,'出库记录表'!$C:$C,$A4,'出库记录表'!$D:$D,$B4,'出库记录表'!$E:$E,$C4)</f>
      </c>
      <c r="H4">
        <f>E4+F4-G4</f>
      </c>
      <c r="I4">
        <f>IF(H4&lt;0,"库存预警",IF(H4=0,"无库存","库存充足"))</f>
      </c>
    </row>
    <row r="5" spans="1:9" x14ac:dyDescent="0.25">
      <c r="A5" t="s">
        <v>24</v>
      </c>
      <c r="B5" t="s">
        <v>25</v>
      </c>
      <c r="C5" t="s">
        <v>26</v>
      </c>
      <c r="D5" t="s">
        <v>18</v>
      </c>
      <c r="E5">
        <v>300</v>
      </c>
      <c r="F5">
        <f>SUMIFS('入库记录表'!$F:$F,'入库记录表'!$C:$C,$A5,'入库记录表'!$D:$D,$B5,'入库记录表'!$E:$E,$C5)</f>
      </c>
      <c r="G5">
        <f>SUMIFS('出库记录表'!$F:$F,'出库记录表'!$C:$C,$A5,'出库记录表'!$D:$D,$B5,'出库记录表'!$E:$E,$C5)</f>
      </c>
      <c r="H5">
        <f>E5+F5-G5</f>
      </c>
      <c r="I5">
        <f>IF(H5&lt;0,"库存预警",IF(H5=0,"无库存","库存充足"))</f>
      </c>
    </row>
    <row r="6" spans="1:9" x14ac:dyDescent="0.25">
      <c r="A6" t="s">
        <v>28</v>
      </c>
      <c r="B6" t="s">
        <v>29</v>
      </c>
      <c r="C6" t="s">
        <v>26</v>
      </c>
      <c r="D6" t="s">
        <v>30</v>
      </c>
      <c r="E6">
        <v>150</v>
      </c>
      <c r="F6">
        <f>SUMIFS('入库记录表'!$F:$F,'入库记录表'!$C:$C,$A6,'入库记录表'!$D:$D,$B6,'入库记录表'!$E:$E,$C6)</f>
      </c>
      <c r="G6">
        <f>SUMIFS('出库记录表'!$F:$F,'出库记录表'!$C:$C,$A6,'出库记录表'!$D:$D,$B6,'出库记录表'!$E:$E,$C6)</f>
      </c>
      <c r="H6">
        <f>E6+F6-G6</f>
      </c>
      <c r="I6">
        <f>IF(H6&lt;0,"库存预警",IF(H6=0,"无库存","库存充足"))</f>
      </c>
    </row>
    <row r="7" spans="1:9" x14ac:dyDescent="0.25">
      <c r="A7" t="s">
        <v>32</v>
      </c>
      <c r="B7" t="s">
        <v>33</v>
      </c>
      <c r="C7" t="s">
        <v>34</v>
      </c>
      <c r="D7" t="s">
        <v>18</v>
      </c>
      <c r="E7">
        <v>500</v>
      </c>
      <c r="F7">
        <f>SUMIFS('入库记录表'!$F:$F,'入库记录表'!$C:$C,$A7,'入库记录表'!$D:$D,$B7,'入库记录表'!$E:$E,$C7)</f>
      </c>
      <c r="G7">
        <f>SUMIFS('出库记录表'!$F:$F,'出库记录表'!$C:$C,$A7,'出库记录表'!$D:$D,$B7,'出库记录表'!$E:$E,$C7)</f>
      </c>
      <c r="H7">
        <f>E7+F7-G7</f>
      </c>
      <c r="I7">
        <f>IF(H7&lt;0,"库存预警",IF(H7=0,"无库存","库存充足"))</f>
      </c>
    </row>
    <row r="8" spans="1:9" x14ac:dyDescent="0.25">
      <c r="A8" t="s">
        <v>37</v>
      </c>
      <c r="B8" t="s">
        <v>38</v>
      </c>
      <c r="C8" t="s">
        <v>26</v>
      </c>
      <c r="D8" t="s">
        <v>22</v>
      </c>
      <c r="E8">
        <v>40</v>
      </c>
      <c r="F8">
        <f>SUMIFS('入库记录表'!$F:$F,'入库记录表'!$C:$C,$A8,'入库记录表'!$D:$D,$B8,'入库记录表'!$E:$E,$C8)</f>
      </c>
      <c r="G8">
        <f>SUMIFS('出库记录表'!$F:$F,'出库记录表'!$C:$C,$A8,'出库记录表'!$D:$D,$B8,'出库记录表'!$E:$E,$C8)</f>
      </c>
      <c r="H8">
        <f>E8+F8-G8</f>
      </c>
      <c r="I8">
        <f>IF(H8&lt;0,"库存预警",IF(H8=0,"无库存","库存充足"))</f>
      </c>
    </row>
    <row r="9" spans="1:9" x14ac:dyDescent="0.25">
      <c r="A9" t="s">
        <v>40</v>
      </c>
      <c r="B9" t="s">
        <v>41</v>
      </c>
      <c r="C9" t="s">
        <v>26</v>
      </c>
      <c r="D9" t="s">
        <v>42</v>
      </c>
      <c r="E9">
        <v>100</v>
      </c>
      <c r="F9">
        <f>SUMIFS('入库记录表'!$F:$F,'入库记录表'!$C:$C,$A9,'入库记录表'!$D:$D,$B9,'入库记录表'!$E:$E,$C9)</f>
      </c>
      <c r="G9">
        <f>SUMIFS('出库记录表'!$F:$F,'出库记录表'!$C:$C,$A9,'出库记录表'!$D:$D,$B9,'出库记录表'!$E:$E,$C9)</f>
      </c>
      <c r="H9">
        <f>E9+F9-G9</f>
      </c>
      <c r="I9">
        <f>IF(H9&lt;0,"库存预警",IF(H9=0,"无库存","库存充足"))</f>
      </c>
    </row>
    <row r="10" spans="1:9" x14ac:dyDescent="0.25">
      <c r="A10" t="s">
        <v>45</v>
      </c>
      <c r="B10" t="s">
        <v>46</v>
      </c>
      <c r="C10" t="s">
        <v>26</v>
      </c>
      <c r="D10" t="s">
        <v>47</v>
      </c>
      <c r="E10">
        <v>50</v>
      </c>
      <c r="F10">
        <f>SUMIFS('入库记录表'!$F:$F,'入库记录表'!$C:$C,$A10,'入库记录表'!$D:$D,$B10,'入库记录表'!$E:$E,$C10)</f>
      </c>
      <c r="G10">
        <f>SUMIFS('出库记录表'!$F:$F,'出库记录表'!$C:$C,$A10,'出库记录表'!$D:$D,$B10,'出库记录表'!$E:$E,$C10)</f>
      </c>
      <c r="H10">
        <f>E10+F10-G10</f>
      </c>
      <c r="I10">
        <f>IF(H10&lt;0,"库存预警",IF(H10=0,"无库存","库存充足"))</f>
      </c>
    </row>
    <row r="11" spans="1:9" x14ac:dyDescent="0.25">
      <c r="A11" t="s">
        <v>49</v>
      </c>
      <c r="B11" t="s">
        <v>50</v>
      </c>
      <c r="C11" t="s">
        <v>26</v>
      </c>
      <c r="D11" t="s">
        <v>47</v>
      </c>
      <c r="E11">
        <v>80</v>
      </c>
      <c r="F11">
        <f>SUMIFS('入库记录表'!$F:$F,'入库记录表'!$C:$C,$A11,'入库记录表'!$D:$D,$B11,'入库记录表'!$E:$E,$C11)</f>
      </c>
      <c r="G11">
        <f>SUMIFS('出库记录表'!$F:$F,'出库记录表'!$C:$C,$A11,'出库记录表'!$D:$D,$B11,'出库记录表'!$E:$E,$C11)</f>
      </c>
      <c r="H11">
        <f>E11+F11-G11</f>
      </c>
      <c r="I11">
        <f>IF(H11&lt;0,"库存预警",IF(H11=0,"无库存","库存充足"))</f>
      </c>
    </row>
    <row r="12" spans="1:9" x14ac:dyDescent="0.25">
      <c r="A12" t="s">
        <v>52</v>
      </c>
      <c r="B12" t="s">
        <v>53</v>
      </c>
      <c r="C12" t="s">
        <v>26</v>
      </c>
      <c r="D12" t="s">
        <v>47</v>
      </c>
      <c r="E12">
        <v>200</v>
      </c>
      <c r="F12">
        <f>SUMIFS('入库记录表'!$F:$F,'入库记录表'!$C:$C,$A12,'入库记录表'!$D:$D,$B12,'入库记录表'!$E:$E,$C12)</f>
      </c>
      <c r="G12">
        <f>SUMIFS('出库记录表'!$F:$F,'出库记录表'!$C:$C,$A12,'出库记录表'!$D:$D,$B12,'出库记录表'!$E:$E,$C12)</f>
      </c>
      <c r="H12">
        <f>E12+F12-G12</f>
      </c>
      <c r="I12">
        <f>IF(H12&lt;0,"库存预警",IF(H12=0,"无库存","库存充足"))</f>
      </c>
    </row>
    <row r="13" spans="1:9" x14ac:dyDescent="0.25">
      <c r="A13" t="s">
        <v>55</v>
      </c>
      <c r="B13" t="s">
        <v>56</v>
      </c>
      <c r="C13" t="s">
        <v>26</v>
      </c>
      <c r="D13" t="s">
        <v>47</v>
      </c>
      <c r="E13">
        <v>120</v>
      </c>
      <c r="F13">
        <f>SUMIFS('入库记录表'!$F:$F,'入库记录表'!$C:$C,$A13,'入库记录表'!$D:$D,$B13,'入库记录表'!$E:$E,$C13)</f>
      </c>
      <c r="G13">
        <f>SUMIFS('出库记录表'!$F:$F,'出库记录表'!$C:$C,$A13,'出库记录表'!$D:$D,$B13,'出库记录表'!$E:$E,$C13)</f>
      </c>
      <c r="H13">
        <f>E13+F13-G13</f>
      </c>
      <c r="I13">
        <f>IF(H13&lt;0,"库存预警",IF(H13=0,"无库存","库存充足"))</f>
      </c>
    </row>
    <row r="14" spans="1:9" x14ac:dyDescent="0.25">
      <c r="A14" t="s">
        <v>58</v>
      </c>
      <c r="B14" t="s">
        <v>59</v>
      </c>
      <c r="C14" t="s">
        <v>60</v>
      </c>
      <c r="D14" t="s">
        <v>47</v>
      </c>
      <c r="E14">
        <v>60</v>
      </c>
      <c r="F14">
        <f>SUMIFS('入库记录表'!$F:$F,'入库记录表'!$C:$C,$A14,'入库记录表'!$D:$D,$B14,'入库记录表'!$E:$E,$C14)</f>
      </c>
      <c r="G14">
        <f>SUMIFS('出库记录表'!$F:$F,'出库记录表'!$C:$C,$A14,'出库记录表'!$D:$D,$B14,'出库记录表'!$E:$E,$C14)</f>
      </c>
      <c r="H14">
        <f>E14+F14-G14</f>
      </c>
      <c r="I14">
        <f>IF(H14&lt;0,"库存预警",IF(H14=0,"无库存","库存充足"))</f>
      </c>
    </row>
    <row r="15" spans="1:9" x14ac:dyDescent="0.25">
      <c r="A15" t="s">
        <v>62</v>
      </c>
      <c r="B15" t="s">
        <v>63</v>
      </c>
      <c r="C15" t="s">
        <v>26</v>
      </c>
      <c r="D15" t="s">
        <v>64</v>
      </c>
      <c r="E15">
        <v>200</v>
      </c>
      <c r="F15">
        <f>SUMIFS('入库记录表'!$F:$F,'入库记录表'!$C:$C,$A15,'入库记录表'!$D:$D,$B15,'入库记录表'!$E:$E,$C15)</f>
      </c>
      <c r="G15">
        <f>SUMIFS('出库记录表'!$F:$F,'出库记录表'!$C:$C,$A15,'出库记录表'!$D:$D,$B15,'出库记录表'!$E:$E,$C15)</f>
      </c>
      <c r="H15">
        <f>E15+F15-G15</f>
      </c>
      <c r="I15">
        <f>IF(H15&lt;0,"库存预警",IF(H15=0,"无库存","库存充足"))</f>
      </c>
    </row>
    <row r="16" spans="1:9" x14ac:dyDescent="0.25">
      <c r="A16" t="s">
        <v>66</v>
      </c>
      <c r="B16" t="s">
        <v>67</v>
      </c>
      <c r="C16" t="s">
        <v>68</v>
      </c>
      <c r="D16" t="s">
        <v>47</v>
      </c>
      <c r="E16">
        <v>50</v>
      </c>
      <c r="F16">
        <f>SUMIFS('入库记录表'!$F:$F,'入库记录表'!$C:$C,$A16,'入库记录表'!$D:$D,$B16,'入库记录表'!$E:$E,$C16)</f>
      </c>
      <c r="G16">
        <f>SUMIFS('出库记录表'!$F:$F,'出库记录表'!$C:$C,$A16,'出库记录表'!$D:$D,$B16,'出库记录表'!$E:$E,$C16)</f>
      </c>
      <c r="H16">
        <f>E16+F16-G16</f>
      </c>
      <c r="I16">
        <f>IF(H16&lt;0,"库存预警",IF(H16=0,"无库存","库存充足"))</f>
      </c>
    </row>
    <row r="17" spans="1:9" x14ac:dyDescent="0.25">
      <c r="A17" t="s">
        <v>70</v>
      </c>
      <c r="B17" t="s">
        <v>71</v>
      </c>
      <c r="C17" t="s">
        <v>72</v>
      </c>
      <c r="D17" t="s">
        <v>73</v>
      </c>
      <c r="E17">
        <v>30</v>
      </c>
      <c r="F17">
        <f>SUMIFS('入库记录表'!$F:$F,'入库记录表'!$C:$C,$A17,'入库记录表'!$D:$D,$B17,'入库记录表'!$E:$E,$C17)</f>
      </c>
      <c r="G17">
        <f>SUMIFS('出库记录表'!$F:$F,'出库记录表'!$C:$C,$A17,'出库记录表'!$D:$D,$B17,'出库记录表'!$E:$E,$C17)</f>
      </c>
      <c r="H17">
        <f>E17+F17-G17</f>
      </c>
      <c r="I17">
        <f>IF(H17&lt;0,"库存预警",IF(H17=0,"无库存","库存充足"))</f>
      </c>
    </row>
    <row r="18" spans="1:9" x14ac:dyDescent="0.25">
      <c r="A18" t="s">
        <v>75</v>
      </c>
      <c r="B18" t="s">
        <v>76</v>
      </c>
      <c r="C18" t="s">
        <v>26</v>
      </c>
      <c r="D18" t="s">
        <v>47</v>
      </c>
      <c r="E18">
        <v>500</v>
      </c>
      <c r="F18">
        <f>SUMIFS('入库记录表'!$F:$F,'入库记录表'!$C:$C,$A18,'入库记录表'!$D:$D,$B18,'入库记录表'!$E:$E,$C18)</f>
      </c>
      <c r="G18">
        <f>SUMIFS('出库记录表'!$F:$F,'出库记录表'!$C:$C,$A18,'出库记录表'!$D:$D,$B18,'出库记录表'!$E:$E,$C18)</f>
      </c>
      <c r="H18">
        <f>E18+F18-G18</f>
      </c>
      <c r="I18">
        <f>IF(H18&lt;0,"库存预警",IF(H18=0,"无库存","库存充足"))</f>
      </c>
    </row>
    <row r="19" spans="1:9" x14ac:dyDescent="0.25">
      <c r="A19" t="s">
        <v>80</v>
      </c>
      <c r="B19" t="s">
        <v>81</v>
      </c>
      <c r="C19" t="s">
        <v>26</v>
      </c>
      <c r="D19" t="s">
        <v>47</v>
      </c>
      <c r="E19">
        <v>500</v>
      </c>
      <c r="F19">
        <f>SUMIFS('入库记录表'!$F:$F,'入库记录表'!$C:$C,$A19,'入库记录表'!$D:$D,$B19,'入库记录表'!$E:$E,$C19)</f>
      </c>
      <c r="G19">
        <f>SUMIFS('出库记录表'!$F:$F,'出库记录表'!$C:$C,$A19,'出库记录表'!$D:$D,$B19,'出库记录表'!$E:$E,$C19)</f>
      </c>
      <c r="H19">
        <f>E19+F19-G19</f>
      </c>
      <c r="I19">
        <f>IF(H19&lt;0,"库存预警",IF(H19=0,"无库存","库存充足"))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物料档案表</vt:lpstr>
      <vt:lpstr>入库记录表</vt:lpstr>
      <vt:lpstr>出库记录表</vt:lpstr>
      <vt:lpstr>实时库存余额表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2026-08-08T06:15:11Z</dcterms:created>
  <dcterms:modified xsi:type="dcterms:W3CDTF">2026-08-08T06:15:11Z</dcterms:modified>
</cp:coreProperties>
</file>