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物料档案表" state="visible" r:id="rId4"/>
    <sheet sheetId="2" name="BOM配方表" state="visible" r:id="rId5"/>
    <sheet sheetId="3" name="入库记录表" state="visible" r:id="rId6"/>
    <sheet sheetId="4" name="出库领料记录表" state="visible" r:id="rId7"/>
    <sheet sheetId="5" name="实时库存余额表" state="visible" r:id="rId8"/>
  </sheets>
  <calcPr calcId="171027"/>
</workbook>
</file>

<file path=xl/sharedStrings.xml><?xml version="1.0" encoding="utf-8"?>
<sst xmlns="http://schemas.openxmlformats.org/spreadsheetml/2006/main" count="1475" uniqueCount="353">
  <si>
    <t>物料编码</t>
  </si>
  <si>
    <t>货物名称</t>
  </si>
  <si>
    <t>规格及材质</t>
  </si>
  <si>
    <t>单位</t>
  </si>
  <si>
    <t>适用成品</t>
  </si>
  <si>
    <t>物料大类</t>
  </si>
  <si>
    <t>是否通用</t>
  </si>
  <si>
    <t>安全库存</t>
  </si>
  <si>
    <t>备注说明</t>
  </si>
  <si>
    <t>CL-001</t>
  </si>
  <si>
    <t>0.3拉簧</t>
  </si>
  <si>
    <t/>
  </si>
  <si>
    <t>个</t>
  </si>
  <si>
    <t>牙线盒</t>
  </si>
  <si>
    <t>原材料</t>
  </si>
  <si>
    <t>否</t>
  </si>
  <si>
    <t>CL-002</t>
  </si>
  <si>
    <t>0.2压簧</t>
  </si>
  <si>
    <t>CL-003</t>
  </si>
  <si>
    <t>磁铁</t>
  </si>
  <si>
    <t>D6*2</t>
  </si>
  <si>
    <t>片</t>
  </si>
  <si>
    <t>A款,B款</t>
  </si>
  <si>
    <t>是</t>
  </si>
  <si>
    <t>多成品通用物料</t>
  </si>
  <si>
    <t>CL-004</t>
  </si>
  <si>
    <t>D6*3</t>
  </si>
  <si>
    <t>CL-005</t>
  </si>
  <si>
    <t>201 中轴</t>
  </si>
  <si>
    <t>10*0.4*340</t>
  </si>
  <si>
    <t>pcs</t>
  </si>
  <si>
    <t>340铝管,350铝轴</t>
  </si>
  <si>
    <t>CL-006</t>
  </si>
  <si>
    <t>201</t>
  </si>
  <si>
    <t>10*0.4*350</t>
  </si>
  <si>
    <t>350铝轴</t>
  </si>
  <si>
    <t>CL-007</t>
  </si>
  <si>
    <t>EX 磁铁</t>
  </si>
  <si>
    <t>250*55*1.5</t>
  </si>
  <si>
    <t>E款</t>
  </si>
  <si>
    <t>CL-008</t>
  </si>
  <si>
    <t>M款 磁铁</t>
  </si>
  <si>
    <t>249*60*2.0mm</t>
  </si>
  <si>
    <t>M金属款</t>
  </si>
  <si>
    <t>CL-009</t>
  </si>
  <si>
    <t>不锈钢外壳</t>
  </si>
  <si>
    <t>304</t>
  </si>
  <si>
    <t>CL-010</t>
  </si>
  <si>
    <t>SN 磁铁</t>
  </si>
  <si>
    <t>165*58*1.5mm</t>
  </si>
  <si>
    <t>SN收纳盒</t>
  </si>
  <si>
    <t>CL-011</t>
  </si>
  <si>
    <t>B款 磁铁</t>
  </si>
  <si>
    <t>159*28*1.5mm</t>
  </si>
  <si>
    <t>B款</t>
  </si>
  <si>
    <t>CL-012</t>
  </si>
  <si>
    <t>54.6*28*1.5mm</t>
  </si>
  <si>
    <t>CL-013</t>
  </si>
  <si>
    <t>硅胶吸盘</t>
  </si>
  <si>
    <t>套</t>
  </si>
  <si>
    <t>A款</t>
  </si>
  <si>
    <t>CL-014</t>
  </si>
  <si>
    <t>CE100款 磁铁</t>
  </si>
  <si>
    <t>265*58.5*1.5mm</t>
  </si>
  <si>
    <t>CE100款</t>
  </si>
  <si>
    <t>CL-015</t>
  </si>
  <si>
    <t>条形磁铁</t>
  </si>
  <si>
    <t>323*24*1.5</t>
  </si>
  <si>
    <t>BZ-001</t>
  </si>
  <si>
    <t>子扣</t>
  </si>
  <si>
    <t>6*6CM</t>
  </si>
  <si>
    <t>包</t>
  </si>
  <si>
    <t>通用,E款,M款</t>
  </si>
  <si>
    <t>包装辅料</t>
  </si>
  <si>
    <t>BZ-002</t>
  </si>
  <si>
    <t>PVC导轨条</t>
  </si>
  <si>
    <t>330MM</t>
  </si>
  <si>
    <t>根</t>
  </si>
  <si>
    <t>通用</t>
  </si>
  <si>
    <t>BZ-003</t>
  </si>
  <si>
    <t>磨砂袋</t>
  </si>
  <si>
    <t>BZ-004</t>
  </si>
  <si>
    <t>气泡袋</t>
  </si>
  <si>
    <t>15*43CM</t>
  </si>
  <si>
    <t>BZ-005</t>
  </si>
  <si>
    <t>SN 磨砂袋</t>
  </si>
  <si>
    <t>14.5*29cm</t>
  </si>
  <si>
    <t>CPE</t>
  </si>
  <si>
    <t>BZ-006</t>
  </si>
  <si>
    <t>EX 磨砂袋</t>
  </si>
  <si>
    <t>14.5*49cm</t>
  </si>
  <si>
    <t>E款,B款</t>
  </si>
  <si>
    <t>BZ-007</t>
  </si>
  <si>
    <t>E款 中文</t>
  </si>
  <si>
    <t>88*66*380mm</t>
  </si>
  <si>
    <t>BZ-008</t>
  </si>
  <si>
    <t>E款 英文</t>
  </si>
  <si>
    <t>BZ-009</t>
  </si>
  <si>
    <t>CE32 外箱</t>
  </si>
  <si>
    <t>560*385*395mm</t>
  </si>
  <si>
    <t>BZ-010</t>
  </si>
  <si>
    <t>H款快递盒</t>
  </si>
  <si>
    <t>222*105*410mm</t>
  </si>
  <si>
    <t>打包盒</t>
  </si>
  <si>
    <t>BZ-011</t>
  </si>
  <si>
    <t>M+200M 纸盒</t>
  </si>
  <si>
    <t>124*100*395mm</t>
  </si>
  <si>
    <t>BZ-012</t>
  </si>
  <si>
    <t>M款彩盒-中文</t>
  </si>
  <si>
    <t>BZ-013</t>
  </si>
  <si>
    <t>M款彩盒-英文</t>
  </si>
  <si>
    <t>BZ-014</t>
  </si>
  <si>
    <t>75C60*60方格</t>
  </si>
  <si>
    <t>SA收纳盒</t>
  </si>
  <si>
    <t>BZ-015</t>
  </si>
  <si>
    <t>75C60*60方格（25mm)</t>
  </si>
  <si>
    <t>BZ-016</t>
  </si>
  <si>
    <t>保鲜膜 中文</t>
  </si>
  <si>
    <t>30CM*100M</t>
  </si>
  <si>
    <t>箱</t>
  </si>
  <si>
    <t>保鲜膜</t>
  </si>
  <si>
    <t>BZ-017</t>
  </si>
  <si>
    <t>30CM*50M</t>
  </si>
  <si>
    <t>BZ-018</t>
  </si>
  <si>
    <t>SA 磨砂袋</t>
  </si>
  <si>
    <t>220*290</t>
  </si>
  <si>
    <t>BZ-019</t>
  </si>
  <si>
    <t>纸箱12</t>
  </si>
  <si>
    <t>390*100*82mm</t>
  </si>
  <si>
    <t>BZ-020</t>
  </si>
  <si>
    <t>E100 说明书</t>
  </si>
  <si>
    <t>BZ-021</t>
  </si>
  <si>
    <t>M20 外箱</t>
  </si>
  <si>
    <t>400*380*410</t>
  </si>
  <si>
    <t>BZ-022</t>
  </si>
  <si>
    <t>B款 英文纸盒</t>
  </si>
  <si>
    <t>BZ-023</t>
  </si>
  <si>
    <t>英文纸盒</t>
  </si>
  <si>
    <t>BZ-024</t>
  </si>
  <si>
    <t>30CM*150M</t>
  </si>
  <si>
    <t>BZ-025</t>
  </si>
  <si>
    <t>30CM*300M</t>
  </si>
  <si>
    <t>BZ-026</t>
  </si>
  <si>
    <t>保鲜膜 英文</t>
  </si>
  <si>
    <t>BZ-027</t>
  </si>
  <si>
    <t>中文纸盒</t>
  </si>
  <si>
    <t>BZ-028</t>
  </si>
  <si>
    <t>空白 纸盒</t>
  </si>
  <si>
    <t>BZ-029</t>
  </si>
  <si>
    <t>CE32 外箱 空白</t>
  </si>
  <si>
    <t>BZ-030</t>
  </si>
  <si>
    <t>BZ-031</t>
  </si>
  <si>
    <t>80*80*190</t>
  </si>
  <si>
    <t>BZ-032</t>
  </si>
  <si>
    <t>BZ-033</t>
  </si>
  <si>
    <t>SN 50 外箱</t>
  </si>
  <si>
    <t>425*425*405</t>
  </si>
  <si>
    <t>BZ-034</t>
  </si>
  <si>
    <t>A40 外箱</t>
  </si>
  <si>
    <t>465*395*410</t>
  </si>
  <si>
    <t>BZ-035</t>
  </si>
  <si>
    <t>84*68*377mm</t>
  </si>
  <si>
    <t>C款</t>
  </si>
  <si>
    <t>BZ-036</t>
  </si>
  <si>
    <t>空白纸盒</t>
  </si>
  <si>
    <t>BZ-037</t>
  </si>
  <si>
    <t>M+200M 空白</t>
  </si>
  <si>
    <t>BZ-038</t>
  </si>
  <si>
    <t>M两台装纸盒</t>
  </si>
  <si>
    <t>150*100*390mm</t>
  </si>
  <si>
    <t>WL-001</t>
  </si>
  <si>
    <t>安鼎物料</t>
  </si>
  <si>
    <t>M金属款,E款</t>
  </si>
  <si>
    <t>配套小件</t>
  </si>
  <si>
    <t>成品名称</t>
  </si>
  <si>
    <t>成品编码</t>
  </si>
  <si>
    <t>配件物料编码</t>
  </si>
  <si>
    <t>配件名称</t>
  </si>
  <si>
    <t>单件耗用数量</t>
  </si>
  <si>
    <t>备注</t>
  </si>
  <si>
    <t>A款收纳盒</t>
  </si>
  <si>
    <t>CP-A</t>
  </si>
  <si>
    <t>A40外箱</t>
  </si>
  <si>
    <t>B款收纳盒</t>
  </si>
  <si>
    <t>CP-B</t>
  </si>
  <si>
    <t>B款磁铁</t>
  </si>
  <si>
    <t>B款英文纸盒</t>
  </si>
  <si>
    <t>E款收纳盒</t>
  </si>
  <si>
    <t>CP-E</t>
  </si>
  <si>
    <t>EX磁铁</t>
  </si>
  <si>
    <t>E款中文</t>
  </si>
  <si>
    <t>E款英文</t>
  </si>
  <si>
    <t>E100说明书</t>
  </si>
  <si>
    <t>CP-M</t>
  </si>
  <si>
    <t>M款磁铁</t>
  </si>
  <si>
    <t>M款彩盒中文</t>
  </si>
  <si>
    <t>CP-SN</t>
  </si>
  <si>
    <t>SN磁铁</t>
  </si>
  <si>
    <t>SN磨砂袋</t>
  </si>
  <si>
    <t>SN50外箱</t>
  </si>
  <si>
    <t>CP-Y</t>
  </si>
  <si>
    <t>入库单号</t>
  </si>
  <si>
    <t>入库日期</t>
  </si>
  <si>
    <t>规格材质</t>
  </si>
  <si>
    <t>入库数量</t>
  </si>
  <si>
    <t>供应商</t>
  </si>
  <si>
    <t>入库备注</t>
  </si>
  <si>
    <t>RK-0001</t>
  </si>
  <si>
    <t>[成品:牙线盒]</t>
  </si>
  <si>
    <t>RK-0002</t>
  </si>
  <si>
    <t>RK-0003</t>
  </si>
  <si>
    <t>[成品:A款 B款]</t>
  </si>
  <si>
    <t>RK-0004</t>
  </si>
  <si>
    <t>RK-0005</t>
  </si>
  <si>
    <t>[成品:通用款]</t>
  </si>
  <si>
    <t>RK-0006</t>
  </si>
  <si>
    <t>[成品:通用款] 1000根/箱 共15箱</t>
  </si>
  <si>
    <t>RK-0007</t>
  </si>
  <si>
    <t>RK-0008</t>
  </si>
  <si>
    <t>[成品:M金属款] 金属款</t>
  </si>
  <si>
    <t>RK-0009</t>
  </si>
  <si>
    <t>[成品:340铝管]</t>
  </si>
  <si>
    <t>RK-0010</t>
  </si>
  <si>
    <t>[成品:350铝轴]</t>
  </si>
  <si>
    <t>RK-0011</t>
  </si>
  <si>
    <t>[成品:E款]</t>
  </si>
  <si>
    <t>RK-0012</t>
  </si>
  <si>
    <t>[成品:SN 收纳盒] 垃圾袋 收纳盒</t>
  </si>
  <si>
    <t>RK-0013</t>
  </si>
  <si>
    <t>[成品:E款 B款]</t>
  </si>
  <si>
    <t>RK-0014</t>
  </si>
  <si>
    <t>RK-0015</t>
  </si>
  <si>
    <t>RK-0016</t>
  </si>
  <si>
    <t>[成品:E款 B款] 纸箱</t>
  </si>
  <si>
    <t>RK-0017</t>
  </si>
  <si>
    <t>[成品:打包盒] 打包盒</t>
  </si>
  <si>
    <t>RK-0018</t>
  </si>
  <si>
    <t>[成品:打包盒] 带字 打包盒</t>
  </si>
  <si>
    <t>RK-0019</t>
  </si>
  <si>
    <t>[成品:打包盒] 空白 打包盒</t>
  </si>
  <si>
    <t>RK-0020</t>
  </si>
  <si>
    <t>[成品:M金属款]</t>
  </si>
  <si>
    <t>RK-0021</t>
  </si>
  <si>
    <t>[成品:E款] 安扣logo</t>
  </si>
  <si>
    <t>RK-0022</t>
  </si>
  <si>
    <t>[成品:E款] 待退换</t>
  </si>
  <si>
    <t>RK-0023</t>
  </si>
  <si>
    <t>RK-0024</t>
  </si>
  <si>
    <t>RK-0025</t>
  </si>
  <si>
    <t>RK-0026</t>
  </si>
  <si>
    <t>[成品:SA 收纳盒] 1片/包</t>
  </si>
  <si>
    <t>RK-0027</t>
  </si>
  <si>
    <t>[成品:SN 收纳盒] 2片/包</t>
  </si>
  <si>
    <t>RK-0028</t>
  </si>
  <si>
    <t>[成品:保鲜膜] 50支/箱</t>
  </si>
  <si>
    <t>RK-0029</t>
  </si>
  <si>
    <t>[成品:保鲜膜] 72支/箱</t>
  </si>
  <si>
    <t>RK-0030</t>
  </si>
  <si>
    <t>[成品:SA 收纳盒] 收纳盒</t>
  </si>
  <si>
    <t>RK-0031</t>
  </si>
  <si>
    <t>RK-0032</t>
  </si>
  <si>
    <t>[成品:E款 M款]</t>
  </si>
  <si>
    <t>RK-0033</t>
  </si>
  <si>
    <t>RK-0034</t>
  </si>
  <si>
    <t>RK-0035</t>
  </si>
  <si>
    <t>[成品:打包盒] 单台金属打包盒</t>
  </si>
  <si>
    <t>RK-0036</t>
  </si>
  <si>
    <t>RK-0037</t>
  </si>
  <si>
    <t>RK-0038</t>
  </si>
  <si>
    <t>RK-0039</t>
  </si>
  <si>
    <t>[成品:SN 收纳盒]</t>
  </si>
  <si>
    <t>RK-0040</t>
  </si>
  <si>
    <t>[成品:B款]</t>
  </si>
  <si>
    <t>RK-0041</t>
  </si>
  <si>
    <t>RK-0042</t>
  </si>
  <si>
    <t>[成品:E款] E款</t>
  </si>
  <si>
    <t>RK-0043</t>
  </si>
  <si>
    <t>[成品:M金属款] M款</t>
  </si>
  <si>
    <t>RK-0044</t>
  </si>
  <si>
    <t>[成品:B款] B款</t>
  </si>
  <si>
    <t>RK-0045</t>
  </si>
  <si>
    <t>[成品:E款 B款] E款</t>
  </si>
  <si>
    <t>RK-0046</t>
  </si>
  <si>
    <t>RK-0047</t>
  </si>
  <si>
    <t>[成品:A款]</t>
  </si>
  <si>
    <t>RK-0048</t>
  </si>
  <si>
    <t>RK-0049</t>
  </si>
  <si>
    <t>RK-0050</t>
  </si>
  <si>
    <t>RK-0051</t>
  </si>
  <si>
    <t>RK-0052</t>
  </si>
  <si>
    <t>[成品:CE100款]</t>
  </si>
  <si>
    <t>RK-0053</t>
  </si>
  <si>
    <t>RK-0054</t>
  </si>
  <si>
    <t>RK-0055</t>
  </si>
  <si>
    <t>RK-0056</t>
  </si>
  <si>
    <t>RK-0057</t>
  </si>
  <si>
    <t>[成品:保鲜膜]</t>
  </si>
  <si>
    <t>RK-0058</t>
  </si>
  <si>
    <t>RK-0059</t>
  </si>
  <si>
    <t>RK-0060</t>
  </si>
  <si>
    <t>RK-0061</t>
  </si>
  <si>
    <t>RK-0062</t>
  </si>
  <si>
    <t>RK-0063</t>
  </si>
  <si>
    <t>RK-0064</t>
  </si>
  <si>
    <t>RK-0065</t>
  </si>
  <si>
    <t>RK-0066</t>
  </si>
  <si>
    <t>RK-0067</t>
  </si>
  <si>
    <t>[成品:打包盒]</t>
  </si>
  <si>
    <t>RK-0068</t>
  </si>
  <si>
    <t>RK-0069</t>
  </si>
  <si>
    <t>RK-0070</t>
  </si>
  <si>
    <t>RK-0071</t>
  </si>
  <si>
    <t>RK-0072</t>
  </si>
  <si>
    <t>RK-0073</t>
  </si>
  <si>
    <t>RK-0074</t>
  </si>
  <si>
    <t>RK-0075</t>
  </si>
  <si>
    <t>RK-0076</t>
  </si>
  <si>
    <t>RK-0077</t>
  </si>
  <si>
    <t>RK-0078</t>
  </si>
  <si>
    <t>RK-0079</t>
  </si>
  <si>
    <t>RK-0080</t>
  </si>
  <si>
    <t>RK-0081</t>
  </si>
  <si>
    <t>RK-0082</t>
  </si>
  <si>
    <t>[成品:C款]</t>
  </si>
  <si>
    <t>RK-0083</t>
  </si>
  <si>
    <t>RK-0084</t>
  </si>
  <si>
    <t>RK-0085</t>
  </si>
  <si>
    <t>RK-0086</t>
  </si>
  <si>
    <t>RK-0087</t>
  </si>
  <si>
    <t>RK-0088</t>
  </si>
  <si>
    <t>RK-0089</t>
  </si>
  <si>
    <t>RK-0090</t>
  </si>
  <si>
    <t>RK-0091</t>
  </si>
  <si>
    <t>RK-0092</t>
  </si>
  <si>
    <t>RK-0093</t>
  </si>
  <si>
    <t>RK-0094</t>
  </si>
  <si>
    <t>RK-0095</t>
  </si>
  <si>
    <t>[成品:350铝轴] -223</t>
  </si>
  <si>
    <t>RK-0096</t>
  </si>
  <si>
    <t>出库单号</t>
  </si>
  <si>
    <t>出库日期</t>
  </si>
  <si>
    <t>领料类型</t>
  </si>
  <si>
    <t>生产数量</t>
  </si>
  <si>
    <t>出库数量</t>
  </si>
  <si>
    <t>出库方向</t>
  </si>
  <si>
    <t>领用人员</t>
  </si>
  <si>
    <t>出库备注</t>
  </si>
  <si>
    <t>使用说明: 第2~11行为BOM批量生产领料区(D2填成品编码,E2填生产数量,自动带出配件); 单独领料请在12行起手动录入。</t>
  </si>
  <si>
    <t>期初库存</t>
  </si>
  <si>
    <t>本期总入库</t>
  </si>
  <si>
    <t>本期总出库</t>
  </si>
  <si>
    <t>当前剩余库存</t>
  </si>
  <si>
    <t>库存状态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</si>
</sst>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888888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2" customWidth="1"/>
    <col min="4" max="4" width="8" customWidth="1"/>
    <col min="5" max="5" width="20" customWidth="1"/>
    <col min="6" max="6" width="12" customWidth="1"/>
    <col min="7" max="8" width="10" customWidth="1"/>
    <col min="9" max="9" width="20" customWidth="1"/>
  </cols>
  <sheetData>
    <row r="1" ht="22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10000</v>
      </c>
      <c r="I2" t="s">
        <v>11</v>
      </c>
    </row>
    <row r="3" spans="1:9" x14ac:dyDescent="0.25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10000</v>
      </c>
      <c r="I3" t="s">
        <v>11</v>
      </c>
    </row>
    <row r="4" spans="1:9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14</v>
      </c>
      <c r="G4" t="s">
        <v>23</v>
      </c>
      <c r="H4">
        <v>20000</v>
      </c>
      <c r="I4" t="s">
        <v>24</v>
      </c>
    </row>
    <row r="5" spans="1:9" x14ac:dyDescent="0.25">
      <c r="A5" t="s">
        <v>25</v>
      </c>
      <c r="B5" t="s">
        <v>19</v>
      </c>
      <c r="C5" t="s">
        <v>26</v>
      </c>
      <c r="D5" t="s">
        <v>21</v>
      </c>
      <c r="E5" t="s">
        <v>22</v>
      </c>
      <c r="F5" t="s">
        <v>14</v>
      </c>
      <c r="G5" t="s">
        <v>23</v>
      </c>
      <c r="H5">
        <v>10000</v>
      </c>
      <c r="I5" t="s">
        <v>24</v>
      </c>
    </row>
    <row r="6" spans="1:9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23</v>
      </c>
      <c r="H6">
        <v>2000</v>
      </c>
      <c r="I6" t="s">
        <v>24</v>
      </c>
    </row>
    <row r="7" spans="1:9" x14ac:dyDescent="0.25">
      <c r="A7" t="s">
        <v>32</v>
      </c>
      <c r="B7" t="s">
        <v>33</v>
      </c>
      <c r="C7" t="s">
        <v>34</v>
      </c>
      <c r="D7" t="s">
        <v>30</v>
      </c>
      <c r="E7" t="s">
        <v>35</v>
      </c>
      <c r="F7" t="s">
        <v>14</v>
      </c>
      <c r="G7" t="s">
        <v>15</v>
      </c>
      <c r="H7">
        <v>2000</v>
      </c>
      <c r="I7" t="s">
        <v>11</v>
      </c>
    </row>
    <row r="8" spans="1:9" x14ac:dyDescent="0.25">
      <c r="A8" t="s">
        <v>36</v>
      </c>
      <c r="B8" t="s">
        <v>37</v>
      </c>
      <c r="C8" t="s">
        <v>38</v>
      </c>
      <c r="D8" t="s">
        <v>30</v>
      </c>
      <c r="E8" t="s">
        <v>39</v>
      </c>
      <c r="F8" t="s">
        <v>14</v>
      </c>
      <c r="G8" t="s">
        <v>15</v>
      </c>
      <c r="H8">
        <v>1000</v>
      </c>
      <c r="I8" t="s">
        <v>11</v>
      </c>
    </row>
    <row r="9" spans="1:9" x14ac:dyDescent="0.25">
      <c r="A9" t="s">
        <v>40</v>
      </c>
      <c r="B9" t="s">
        <v>41</v>
      </c>
      <c r="C9" t="s">
        <v>42</v>
      </c>
      <c r="D9" t="s">
        <v>30</v>
      </c>
      <c r="E9" t="s">
        <v>43</v>
      </c>
      <c r="F9" t="s">
        <v>14</v>
      </c>
      <c r="G9" t="s">
        <v>15</v>
      </c>
      <c r="H9">
        <v>500</v>
      </c>
      <c r="I9" t="s">
        <v>11</v>
      </c>
    </row>
    <row r="10" spans="1:9" x14ac:dyDescent="0.25">
      <c r="A10" t="s">
        <v>44</v>
      </c>
      <c r="B10" t="s">
        <v>45</v>
      </c>
      <c r="C10" t="s">
        <v>46</v>
      </c>
      <c r="D10" t="s">
        <v>30</v>
      </c>
      <c r="E10" t="s">
        <v>43</v>
      </c>
      <c r="F10" t="s">
        <v>14</v>
      </c>
      <c r="G10" t="s">
        <v>15</v>
      </c>
      <c r="H10">
        <v>500</v>
      </c>
      <c r="I10" t="s">
        <v>11</v>
      </c>
    </row>
    <row r="11" spans="1:9" x14ac:dyDescent="0.25">
      <c r="A11" t="s">
        <v>47</v>
      </c>
      <c r="B11" t="s">
        <v>48</v>
      </c>
      <c r="C11" t="s">
        <v>49</v>
      </c>
      <c r="D11" t="s">
        <v>30</v>
      </c>
      <c r="E11" t="s">
        <v>50</v>
      </c>
      <c r="F11" t="s">
        <v>14</v>
      </c>
      <c r="G11" t="s">
        <v>15</v>
      </c>
      <c r="H11">
        <v>500</v>
      </c>
      <c r="I11" t="s">
        <v>11</v>
      </c>
    </row>
    <row r="12" spans="1:9" x14ac:dyDescent="0.25">
      <c r="A12" t="s">
        <v>51</v>
      </c>
      <c r="B12" t="s">
        <v>52</v>
      </c>
      <c r="C12" t="s">
        <v>53</v>
      </c>
      <c r="D12" t="s">
        <v>30</v>
      </c>
      <c r="E12" t="s">
        <v>54</v>
      </c>
      <c r="F12" t="s">
        <v>14</v>
      </c>
      <c r="G12" t="s">
        <v>15</v>
      </c>
      <c r="H12">
        <v>1000</v>
      </c>
      <c r="I12" t="s">
        <v>11</v>
      </c>
    </row>
    <row r="13" spans="1:9" x14ac:dyDescent="0.25">
      <c r="A13" t="s">
        <v>55</v>
      </c>
      <c r="B13" t="s">
        <v>52</v>
      </c>
      <c r="C13" t="s">
        <v>56</v>
      </c>
      <c r="D13" t="s">
        <v>30</v>
      </c>
      <c r="E13" t="s">
        <v>54</v>
      </c>
      <c r="F13" t="s">
        <v>14</v>
      </c>
      <c r="G13" t="s">
        <v>15</v>
      </c>
      <c r="H13">
        <v>1000</v>
      </c>
      <c r="I13" t="s">
        <v>11</v>
      </c>
    </row>
    <row r="14" spans="1:9" x14ac:dyDescent="0.25">
      <c r="A14" t="s">
        <v>57</v>
      </c>
      <c r="B14" t="s">
        <v>58</v>
      </c>
      <c r="C14" t="s">
        <v>11</v>
      </c>
      <c r="D14" t="s">
        <v>59</v>
      </c>
      <c r="E14" t="s">
        <v>60</v>
      </c>
      <c r="F14" t="s">
        <v>14</v>
      </c>
      <c r="G14" t="s">
        <v>15</v>
      </c>
      <c r="H14">
        <v>1000</v>
      </c>
      <c r="I14" t="s">
        <v>11</v>
      </c>
    </row>
    <row r="15" spans="1:9" x14ac:dyDescent="0.25">
      <c r="A15" t="s">
        <v>61</v>
      </c>
      <c r="B15" t="s">
        <v>62</v>
      </c>
      <c r="C15" t="s">
        <v>63</v>
      </c>
      <c r="D15" t="s">
        <v>30</v>
      </c>
      <c r="E15" t="s">
        <v>64</v>
      </c>
      <c r="F15" t="s">
        <v>14</v>
      </c>
      <c r="G15" t="s">
        <v>15</v>
      </c>
      <c r="H15">
        <v>200</v>
      </c>
      <c r="I15" t="s">
        <v>11</v>
      </c>
    </row>
    <row r="16" spans="1:9" x14ac:dyDescent="0.25">
      <c r="A16" t="s">
        <v>65</v>
      </c>
      <c r="B16" t="s">
        <v>66</v>
      </c>
      <c r="C16" t="s">
        <v>67</v>
      </c>
      <c r="D16" t="s">
        <v>11</v>
      </c>
      <c r="E16" t="s">
        <v>60</v>
      </c>
      <c r="F16" t="s">
        <v>14</v>
      </c>
      <c r="G16" t="s">
        <v>15</v>
      </c>
      <c r="H16">
        <v>500</v>
      </c>
      <c r="I16" t="s">
        <v>11</v>
      </c>
    </row>
    <row r="17" spans="1:9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  <c r="G17" t="s">
        <v>23</v>
      </c>
      <c r="H17">
        <v>10000</v>
      </c>
      <c r="I17" t="s">
        <v>24</v>
      </c>
    </row>
    <row r="18" spans="1:9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73</v>
      </c>
      <c r="G18" t="s">
        <v>15</v>
      </c>
      <c r="H18">
        <v>10000</v>
      </c>
      <c r="I18" t="s">
        <v>11</v>
      </c>
    </row>
    <row r="19" spans="1:9" x14ac:dyDescent="0.25">
      <c r="A19" t="s">
        <v>79</v>
      </c>
      <c r="B19" t="s">
        <v>80</v>
      </c>
      <c r="C19" t="s">
        <v>13</v>
      </c>
      <c r="D19" t="s">
        <v>12</v>
      </c>
      <c r="E19" t="s">
        <v>13</v>
      </c>
      <c r="F19" t="s">
        <v>73</v>
      </c>
      <c r="G19" t="s">
        <v>15</v>
      </c>
      <c r="H19">
        <v>5000</v>
      </c>
      <c r="I19" t="s">
        <v>11</v>
      </c>
    </row>
    <row r="20" spans="1:9" x14ac:dyDescent="0.25">
      <c r="A20" t="s">
        <v>81</v>
      </c>
      <c r="B20" t="s">
        <v>82</v>
      </c>
      <c r="C20" t="s">
        <v>83</v>
      </c>
      <c r="D20" t="s">
        <v>12</v>
      </c>
      <c r="E20" t="s">
        <v>43</v>
      </c>
      <c r="F20" t="s">
        <v>73</v>
      </c>
      <c r="G20" t="s">
        <v>15</v>
      </c>
      <c r="H20">
        <v>2000</v>
      </c>
      <c r="I20" t="s">
        <v>11</v>
      </c>
    </row>
    <row r="21" spans="1:9" x14ac:dyDescent="0.25">
      <c r="A21" t="s">
        <v>84</v>
      </c>
      <c r="B21" t="s">
        <v>85</v>
      </c>
      <c r="C21" t="s">
        <v>86</v>
      </c>
      <c r="D21" t="s">
        <v>87</v>
      </c>
      <c r="E21" t="s">
        <v>50</v>
      </c>
      <c r="F21" t="s">
        <v>73</v>
      </c>
      <c r="G21" t="s">
        <v>15</v>
      </c>
      <c r="H21">
        <v>1000</v>
      </c>
      <c r="I21" t="s">
        <v>11</v>
      </c>
    </row>
    <row r="22" spans="1:9" x14ac:dyDescent="0.25">
      <c r="A22" t="s">
        <v>88</v>
      </c>
      <c r="B22" t="s">
        <v>89</v>
      </c>
      <c r="C22" t="s">
        <v>90</v>
      </c>
      <c r="D22" t="s">
        <v>87</v>
      </c>
      <c r="E22" t="s">
        <v>91</v>
      </c>
      <c r="F22" t="s">
        <v>73</v>
      </c>
      <c r="G22" t="s">
        <v>23</v>
      </c>
      <c r="H22">
        <v>1000</v>
      </c>
      <c r="I22" t="s">
        <v>24</v>
      </c>
    </row>
    <row r="23" spans="1:9" x14ac:dyDescent="0.25">
      <c r="A23" t="s">
        <v>92</v>
      </c>
      <c r="B23" t="s">
        <v>93</v>
      </c>
      <c r="C23" t="s">
        <v>94</v>
      </c>
      <c r="D23" t="s">
        <v>12</v>
      </c>
      <c r="E23" t="s">
        <v>39</v>
      </c>
      <c r="F23" t="s">
        <v>73</v>
      </c>
      <c r="G23" t="s">
        <v>15</v>
      </c>
      <c r="H23">
        <v>2000</v>
      </c>
      <c r="I23" t="s">
        <v>11</v>
      </c>
    </row>
    <row r="24" spans="1:9" x14ac:dyDescent="0.25">
      <c r="A24" t="s">
        <v>95</v>
      </c>
      <c r="B24" t="s">
        <v>96</v>
      </c>
      <c r="C24" t="s">
        <v>94</v>
      </c>
      <c r="D24" t="s">
        <v>12</v>
      </c>
      <c r="E24" t="s">
        <v>39</v>
      </c>
      <c r="F24" t="s">
        <v>73</v>
      </c>
      <c r="G24" t="s">
        <v>15</v>
      </c>
      <c r="H24">
        <v>2000</v>
      </c>
      <c r="I24" t="s">
        <v>11</v>
      </c>
    </row>
    <row r="25" spans="1:9" x14ac:dyDescent="0.25">
      <c r="A25" t="s">
        <v>97</v>
      </c>
      <c r="B25" t="s">
        <v>98</v>
      </c>
      <c r="C25" t="s">
        <v>99</v>
      </c>
      <c r="D25" t="s">
        <v>12</v>
      </c>
      <c r="E25" t="s">
        <v>91</v>
      </c>
      <c r="F25" t="s">
        <v>73</v>
      </c>
      <c r="G25" t="s">
        <v>23</v>
      </c>
      <c r="H25">
        <v>500</v>
      </c>
      <c r="I25" t="s">
        <v>24</v>
      </c>
    </row>
    <row r="26" spans="1:9" x14ac:dyDescent="0.25">
      <c r="A26" t="s">
        <v>100</v>
      </c>
      <c r="B26" t="s">
        <v>101</v>
      </c>
      <c r="C26" t="s">
        <v>102</v>
      </c>
      <c r="D26" t="s">
        <v>12</v>
      </c>
      <c r="E26" t="s">
        <v>103</v>
      </c>
      <c r="F26" t="s">
        <v>73</v>
      </c>
      <c r="G26" t="s">
        <v>15</v>
      </c>
      <c r="H26">
        <v>1000</v>
      </c>
      <c r="I26" t="s">
        <v>11</v>
      </c>
    </row>
    <row r="27" spans="1:9" x14ac:dyDescent="0.25">
      <c r="A27" t="s">
        <v>104</v>
      </c>
      <c r="B27" t="s">
        <v>105</v>
      </c>
      <c r="C27" t="s">
        <v>106</v>
      </c>
      <c r="D27" t="s">
        <v>12</v>
      </c>
      <c r="E27" t="s">
        <v>103</v>
      </c>
      <c r="F27" t="s">
        <v>73</v>
      </c>
      <c r="G27" t="s">
        <v>15</v>
      </c>
      <c r="H27">
        <v>1000</v>
      </c>
      <c r="I27" t="s">
        <v>11</v>
      </c>
    </row>
    <row r="28" spans="1:9" x14ac:dyDescent="0.25">
      <c r="A28" t="s">
        <v>107</v>
      </c>
      <c r="B28" t="s">
        <v>108</v>
      </c>
      <c r="C28" t="s">
        <v>11</v>
      </c>
      <c r="D28" t="s">
        <v>12</v>
      </c>
      <c r="E28" t="s">
        <v>43</v>
      </c>
      <c r="F28" t="s">
        <v>73</v>
      </c>
      <c r="G28" t="s">
        <v>15</v>
      </c>
      <c r="H28">
        <v>500</v>
      </c>
      <c r="I28" t="s">
        <v>11</v>
      </c>
    </row>
    <row r="29" spans="1:9" x14ac:dyDescent="0.25">
      <c r="A29" t="s">
        <v>109</v>
      </c>
      <c r="B29" t="s">
        <v>110</v>
      </c>
      <c r="C29" t="s">
        <v>11</v>
      </c>
      <c r="D29" t="s">
        <v>12</v>
      </c>
      <c r="E29" t="s">
        <v>43</v>
      </c>
      <c r="F29" t="s">
        <v>73</v>
      </c>
      <c r="G29" t="s">
        <v>15</v>
      </c>
      <c r="H29">
        <v>500</v>
      </c>
      <c r="I29" t="s">
        <v>11</v>
      </c>
    </row>
    <row r="30" spans="1:9" x14ac:dyDescent="0.25">
      <c r="A30" t="s">
        <v>111</v>
      </c>
      <c r="B30" t="s">
        <v>69</v>
      </c>
      <c r="C30" t="s">
        <v>112</v>
      </c>
      <c r="D30" t="s">
        <v>21</v>
      </c>
      <c r="E30" t="s">
        <v>113</v>
      </c>
      <c r="F30" t="s">
        <v>73</v>
      </c>
      <c r="G30" t="s">
        <v>15</v>
      </c>
      <c r="H30">
        <v>1000</v>
      </c>
      <c r="I30" t="s">
        <v>11</v>
      </c>
    </row>
    <row r="31" spans="1:9" x14ac:dyDescent="0.25">
      <c r="A31" t="s">
        <v>114</v>
      </c>
      <c r="B31" t="s">
        <v>69</v>
      </c>
      <c r="C31" t="s">
        <v>115</v>
      </c>
      <c r="D31" t="s">
        <v>71</v>
      </c>
      <c r="E31" t="s">
        <v>50</v>
      </c>
      <c r="F31" t="s">
        <v>73</v>
      </c>
      <c r="G31" t="s">
        <v>15</v>
      </c>
      <c r="H31">
        <v>1000</v>
      </c>
      <c r="I31" t="s">
        <v>11</v>
      </c>
    </row>
    <row r="32" spans="1:9" x14ac:dyDescent="0.25">
      <c r="A32" t="s">
        <v>116</v>
      </c>
      <c r="B32" t="s">
        <v>117</v>
      </c>
      <c r="C32" t="s">
        <v>118</v>
      </c>
      <c r="D32" t="s">
        <v>119</v>
      </c>
      <c r="E32" t="s">
        <v>120</v>
      </c>
      <c r="F32" t="s">
        <v>73</v>
      </c>
      <c r="G32" t="s">
        <v>15</v>
      </c>
      <c r="H32">
        <v>100</v>
      </c>
      <c r="I32" t="s">
        <v>11</v>
      </c>
    </row>
    <row r="33" spans="1:9" x14ac:dyDescent="0.25">
      <c r="A33" t="s">
        <v>121</v>
      </c>
      <c r="B33" t="s">
        <v>117</v>
      </c>
      <c r="C33" t="s">
        <v>122</v>
      </c>
      <c r="D33" t="s">
        <v>119</v>
      </c>
      <c r="E33" t="s">
        <v>120</v>
      </c>
      <c r="F33" t="s">
        <v>73</v>
      </c>
      <c r="G33" t="s">
        <v>15</v>
      </c>
      <c r="H33">
        <v>100</v>
      </c>
      <c r="I33" t="s">
        <v>11</v>
      </c>
    </row>
    <row r="34" spans="1:9" x14ac:dyDescent="0.25">
      <c r="A34" t="s">
        <v>123</v>
      </c>
      <c r="B34" t="s">
        <v>124</v>
      </c>
      <c r="C34" t="s">
        <v>125</v>
      </c>
      <c r="D34" t="s">
        <v>87</v>
      </c>
      <c r="E34" t="s">
        <v>113</v>
      </c>
      <c r="F34" t="s">
        <v>73</v>
      </c>
      <c r="G34" t="s">
        <v>15</v>
      </c>
      <c r="H34">
        <v>500</v>
      </c>
      <c r="I34" t="s">
        <v>11</v>
      </c>
    </row>
    <row r="35" spans="1:9" x14ac:dyDescent="0.25">
      <c r="A35" t="s">
        <v>126</v>
      </c>
      <c r="B35" t="s">
        <v>127</v>
      </c>
      <c r="C35" t="s">
        <v>128</v>
      </c>
      <c r="D35" t="s">
        <v>12</v>
      </c>
      <c r="E35" t="s">
        <v>103</v>
      </c>
      <c r="F35" t="s">
        <v>73</v>
      </c>
      <c r="G35" t="s">
        <v>15</v>
      </c>
      <c r="H35">
        <v>500</v>
      </c>
      <c r="I35" t="s">
        <v>11</v>
      </c>
    </row>
    <row r="36" spans="1:9" x14ac:dyDescent="0.25">
      <c r="A36" t="s">
        <v>129</v>
      </c>
      <c r="B36" t="s">
        <v>130</v>
      </c>
      <c r="C36" t="s">
        <v>11</v>
      </c>
      <c r="D36" t="s">
        <v>12</v>
      </c>
      <c r="E36" t="s">
        <v>39</v>
      </c>
      <c r="F36" t="s">
        <v>73</v>
      </c>
      <c r="G36" t="s">
        <v>15</v>
      </c>
      <c r="H36">
        <v>2000</v>
      </c>
      <c r="I36" t="s">
        <v>11</v>
      </c>
    </row>
    <row r="37" spans="1:9" x14ac:dyDescent="0.25">
      <c r="A37" t="s">
        <v>131</v>
      </c>
      <c r="B37" t="s">
        <v>132</v>
      </c>
      <c r="C37" t="s">
        <v>133</v>
      </c>
      <c r="D37" t="s">
        <v>12</v>
      </c>
      <c r="E37" t="s">
        <v>43</v>
      </c>
      <c r="F37" t="s">
        <v>73</v>
      </c>
      <c r="G37" t="s">
        <v>15</v>
      </c>
      <c r="H37">
        <v>300</v>
      </c>
      <c r="I37" t="s">
        <v>11</v>
      </c>
    </row>
    <row r="38" spans="1:9" x14ac:dyDescent="0.25">
      <c r="A38" t="s">
        <v>134</v>
      </c>
      <c r="B38" t="s">
        <v>135</v>
      </c>
      <c r="C38" t="s">
        <v>94</v>
      </c>
      <c r="D38" t="s">
        <v>12</v>
      </c>
      <c r="E38" t="s">
        <v>54</v>
      </c>
      <c r="F38" t="s">
        <v>73</v>
      </c>
      <c r="G38" t="s">
        <v>15</v>
      </c>
      <c r="H38">
        <v>1000</v>
      </c>
      <c r="I38" t="s">
        <v>11</v>
      </c>
    </row>
    <row r="39" spans="1:9" x14ac:dyDescent="0.25">
      <c r="A39" t="s">
        <v>136</v>
      </c>
      <c r="B39" t="s">
        <v>137</v>
      </c>
      <c r="C39" t="s">
        <v>94</v>
      </c>
      <c r="D39" t="s">
        <v>12</v>
      </c>
      <c r="E39" t="s">
        <v>39</v>
      </c>
      <c r="F39" t="s">
        <v>73</v>
      </c>
      <c r="G39" t="s">
        <v>15</v>
      </c>
      <c r="H39">
        <v>2000</v>
      </c>
      <c r="I39" t="s">
        <v>11</v>
      </c>
    </row>
    <row r="40" spans="1:9" x14ac:dyDescent="0.25">
      <c r="A40" t="s">
        <v>138</v>
      </c>
      <c r="B40" t="s">
        <v>117</v>
      </c>
      <c r="C40" t="s">
        <v>139</v>
      </c>
      <c r="D40" t="s">
        <v>119</v>
      </c>
      <c r="E40" t="s">
        <v>120</v>
      </c>
      <c r="F40" t="s">
        <v>73</v>
      </c>
      <c r="G40" t="s">
        <v>15</v>
      </c>
      <c r="H40">
        <v>100</v>
      </c>
      <c r="I40" t="s">
        <v>11</v>
      </c>
    </row>
    <row r="41" spans="1:9" x14ac:dyDescent="0.25">
      <c r="A41" t="s">
        <v>140</v>
      </c>
      <c r="B41" t="s">
        <v>117</v>
      </c>
      <c r="C41" t="s">
        <v>141</v>
      </c>
      <c r="D41" t="s">
        <v>119</v>
      </c>
      <c r="E41" t="s">
        <v>120</v>
      </c>
      <c r="F41" t="s">
        <v>73</v>
      </c>
      <c r="G41" t="s">
        <v>15</v>
      </c>
      <c r="H41">
        <v>100</v>
      </c>
      <c r="I41" t="s">
        <v>11</v>
      </c>
    </row>
    <row r="42" spans="1:9" x14ac:dyDescent="0.25">
      <c r="A42" t="s">
        <v>142</v>
      </c>
      <c r="B42" t="s">
        <v>143</v>
      </c>
      <c r="C42" t="s">
        <v>122</v>
      </c>
      <c r="D42" t="s">
        <v>119</v>
      </c>
      <c r="E42" t="s">
        <v>120</v>
      </c>
      <c r="F42" t="s">
        <v>73</v>
      </c>
      <c r="G42" t="s">
        <v>15</v>
      </c>
      <c r="H42">
        <v>100</v>
      </c>
      <c r="I42" t="s">
        <v>11</v>
      </c>
    </row>
    <row r="43" spans="1:9" x14ac:dyDescent="0.25">
      <c r="A43" t="s">
        <v>144</v>
      </c>
      <c r="B43" t="s">
        <v>145</v>
      </c>
      <c r="C43" t="s">
        <v>94</v>
      </c>
      <c r="D43" t="s">
        <v>12</v>
      </c>
      <c r="E43" t="s">
        <v>39</v>
      </c>
      <c r="F43" t="s">
        <v>73</v>
      </c>
      <c r="G43" t="s">
        <v>15</v>
      </c>
      <c r="H43">
        <v>2000</v>
      </c>
      <c r="I43" t="s">
        <v>11</v>
      </c>
    </row>
    <row r="44" spans="1:9" x14ac:dyDescent="0.25">
      <c r="A44" t="s">
        <v>146</v>
      </c>
      <c r="B44" t="s">
        <v>147</v>
      </c>
      <c r="C44" t="s">
        <v>94</v>
      </c>
      <c r="D44" t="s">
        <v>12</v>
      </c>
      <c r="E44" t="s">
        <v>39</v>
      </c>
      <c r="F44" t="s">
        <v>73</v>
      </c>
      <c r="G44" t="s">
        <v>15</v>
      </c>
      <c r="H44">
        <v>500</v>
      </c>
      <c r="I44" t="s">
        <v>11</v>
      </c>
    </row>
    <row r="45" spans="1:9" x14ac:dyDescent="0.25">
      <c r="A45" t="s">
        <v>148</v>
      </c>
      <c r="B45" t="s">
        <v>149</v>
      </c>
      <c r="C45" t="s">
        <v>99</v>
      </c>
      <c r="D45" t="s">
        <v>12</v>
      </c>
      <c r="E45" t="s">
        <v>39</v>
      </c>
      <c r="F45" t="s">
        <v>73</v>
      </c>
      <c r="G45" t="s">
        <v>15</v>
      </c>
      <c r="H45">
        <v>200</v>
      </c>
      <c r="I45" t="s">
        <v>11</v>
      </c>
    </row>
    <row r="46" spans="1:9" x14ac:dyDescent="0.25">
      <c r="A46" t="s">
        <v>150</v>
      </c>
      <c r="B46" t="s">
        <v>80</v>
      </c>
      <c r="C46" t="s">
        <v>11</v>
      </c>
      <c r="D46" t="s">
        <v>87</v>
      </c>
      <c r="E46" t="s">
        <v>60</v>
      </c>
      <c r="F46" t="s">
        <v>73</v>
      </c>
      <c r="G46" t="s">
        <v>15</v>
      </c>
      <c r="H46">
        <v>1000</v>
      </c>
      <c r="I46" t="s">
        <v>11</v>
      </c>
    </row>
    <row r="47" spans="1:9" x14ac:dyDescent="0.25">
      <c r="A47" t="s">
        <v>151</v>
      </c>
      <c r="B47" t="s">
        <v>137</v>
      </c>
      <c r="C47" t="s">
        <v>152</v>
      </c>
      <c r="D47" t="s">
        <v>12</v>
      </c>
      <c r="E47" t="s">
        <v>50</v>
      </c>
      <c r="F47" t="s">
        <v>73</v>
      </c>
      <c r="G47" t="s">
        <v>15</v>
      </c>
      <c r="H47">
        <v>1000</v>
      </c>
      <c r="I47" t="s">
        <v>11</v>
      </c>
    </row>
    <row r="48" spans="1:9" x14ac:dyDescent="0.25">
      <c r="A48" t="s">
        <v>153</v>
      </c>
      <c r="B48" t="s">
        <v>145</v>
      </c>
      <c r="C48" t="s">
        <v>152</v>
      </c>
      <c r="D48" t="s">
        <v>12</v>
      </c>
      <c r="E48" t="s">
        <v>50</v>
      </c>
      <c r="F48" t="s">
        <v>73</v>
      </c>
      <c r="G48" t="s">
        <v>15</v>
      </c>
      <c r="H48">
        <v>1000</v>
      </c>
      <c r="I48" t="s">
        <v>11</v>
      </c>
    </row>
    <row r="49" spans="1:9" x14ac:dyDescent="0.25">
      <c r="A49" t="s">
        <v>154</v>
      </c>
      <c r="B49" t="s">
        <v>155</v>
      </c>
      <c r="C49" t="s">
        <v>156</v>
      </c>
      <c r="D49" t="s">
        <v>12</v>
      </c>
      <c r="E49" t="s">
        <v>50</v>
      </c>
      <c r="F49" t="s">
        <v>73</v>
      </c>
      <c r="G49" t="s">
        <v>15</v>
      </c>
      <c r="H49">
        <v>300</v>
      </c>
      <c r="I49" t="s">
        <v>11</v>
      </c>
    </row>
    <row r="50" spans="1:9" x14ac:dyDescent="0.25">
      <c r="A50" t="s">
        <v>157</v>
      </c>
      <c r="B50" t="s">
        <v>158</v>
      </c>
      <c r="C50" t="s">
        <v>159</v>
      </c>
      <c r="D50" t="s">
        <v>12</v>
      </c>
      <c r="E50" t="s">
        <v>60</v>
      </c>
      <c r="F50" t="s">
        <v>73</v>
      </c>
      <c r="G50" t="s">
        <v>15</v>
      </c>
      <c r="H50">
        <v>300</v>
      </c>
      <c r="I50" t="s">
        <v>11</v>
      </c>
    </row>
    <row r="51" spans="1:9" x14ac:dyDescent="0.25">
      <c r="A51" t="s">
        <v>160</v>
      </c>
      <c r="B51" t="s">
        <v>137</v>
      </c>
      <c r="C51" t="s">
        <v>161</v>
      </c>
      <c r="D51" t="s">
        <v>12</v>
      </c>
      <c r="E51" t="s">
        <v>162</v>
      </c>
      <c r="F51" t="s">
        <v>73</v>
      </c>
      <c r="G51" t="s">
        <v>15</v>
      </c>
      <c r="H51">
        <v>500</v>
      </c>
      <c r="I51" t="s">
        <v>11</v>
      </c>
    </row>
    <row r="52" spans="1:9" x14ac:dyDescent="0.25">
      <c r="A52" t="s">
        <v>163</v>
      </c>
      <c r="B52" t="s">
        <v>164</v>
      </c>
      <c r="C52" t="s">
        <v>161</v>
      </c>
      <c r="D52" t="s">
        <v>12</v>
      </c>
      <c r="E52" t="s">
        <v>162</v>
      </c>
      <c r="F52" t="s">
        <v>73</v>
      </c>
      <c r="G52" t="s">
        <v>15</v>
      </c>
      <c r="H52">
        <v>500</v>
      </c>
      <c r="I52" t="s">
        <v>11</v>
      </c>
    </row>
    <row r="53" spans="1:9" x14ac:dyDescent="0.25">
      <c r="A53" t="s">
        <v>165</v>
      </c>
      <c r="B53" t="s">
        <v>166</v>
      </c>
      <c r="C53" t="s">
        <v>106</v>
      </c>
      <c r="D53" t="s">
        <v>12</v>
      </c>
      <c r="E53" t="s">
        <v>103</v>
      </c>
      <c r="F53" t="s">
        <v>73</v>
      </c>
      <c r="G53" t="s">
        <v>15</v>
      </c>
      <c r="H53">
        <v>200</v>
      </c>
      <c r="I53" t="s">
        <v>11</v>
      </c>
    </row>
    <row r="54" spans="1:9" x14ac:dyDescent="0.25">
      <c r="A54" t="s">
        <v>167</v>
      </c>
      <c r="B54" t="s">
        <v>168</v>
      </c>
      <c r="C54" t="s">
        <v>169</v>
      </c>
      <c r="D54" t="s">
        <v>12</v>
      </c>
      <c r="E54" t="s">
        <v>103</v>
      </c>
      <c r="F54" t="s">
        <v>73</v>
      </c>
      <c r="G54" t="s">
        <v>15</v>
      </c>
      <c r="H54">
        <v>200</v>
      </c>
      <c r="I54" t="s">
        <v>11</v>
      </c>
    </row>
    <row r="55" spans="1:9" x14ac:dyDescent="0.25">
      <c r="A55" t="s">
        <v>170</v>
      </c>
      <c r="B55" t="s">
        <v>171</v>
      </c>
      <c r="C55" t="s">
        <v>11</v>
      </c>
      <c r="D55" t="s">
        <v>59</v>
      </c>
      <c r="E55" t="s">
        <v>172</v>
      </c>
      <c r="F55" t="s">
        <v>173</v>
      </c>
      <c r="G55" t="s">
        <v>23</v>
      </c>
      <c r="H55">
        <v>500</v>
      </c>
      <c r="I55" t="s">
        <v>24</v>
      </c>
    </row>
  </sheetData>
  <autoFilter ref="A1:I5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14" customWidth="1"/>
    <col min="4" max="4" width="16" customWidth="1"/>
    <col min="5" max="5" width="13" customWidth="1"/>
    <col min="6" max="6" width="20" customWidth="1"/>
  </cols>
  <sheetData>
    <row r="1" ht="22" customHeight="1" spans="1:6" s="1" customFormat="1" x14ac:dyDescent="0.25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</row>
    <row r="2" spans="1:6" x14ac:dyDescent="0.25">
      <c r="A2" t="s">
        <v>180</v>
      </c>
      <c r="B2" t="s">
        <v>181</v>
      </c>
      <c r="C2" t="s">
        <v>18</v>
      </c>
      <c r="D2" t="s">
        <v>19</v>
      </c>
      <c r="E2">
        <v>2</v>
      </c>
      <c r="F2" t="s">
        <v>11</v>
      </c>
    </row>
    <row r="3" spans="1:6" x14ac:dyDescent="0.25">
      <c r="A3" t="s">
        <v>180</v>
      </c>
      <c r="B3" t="s">
        <v>181</v>
      </c>
      <c r="C3" t="s">
        <v>68</v>
      </c>
      <c r="D3" t="s">
        <v>69</v>
      </c>
      <c r="E3">
        <v>2</v>
      </c>
      <c r="F3" t="s">
        <v>11</v>
      </c>
    </row>
    <row r="4" spans="1:6" x14ac:dyDescent="0.25">
      <c r="A4" t="s">
        <v>180</v>
      </c>
      <c r="B4" t="s">
        <v>181</v>
      </c>
      <c r="C4" t="s">
        <v>74</v>
      </c>
      <c r="D4" t="s">
        <v>75</v>
      </c>
      <c r="E4">
        <v>1</v>
      </c>
      <c r="F4" t="s">
        <v>11</v>
      </c>
    </row>
    <row r="5" spans="1:6" x14ac:dyDescent="0.25">
      <c r="A5" t="s">
        <v>180</v>
      </c>
      <c r="B5" t="s">
        <v>181</v>
      </c>
      <c r="C5" t="s">
        <v>57</v>
      </c>
      <c r="D5" t="s">
        <v>58</v>
      </c>
      <c r="E5">
        <v>4</v>
      </c>
      <c r="F5" t="s">
        <v>11</v>
      </c>
    </row>
    <row r="6" spans="1:6" x14ac:dyDescent="0.25">
      <c r="A6" t="s">
        <v>180</v>
      </c>
      <c r="B6" t="s">
        <v>181</v>
      </c>
      <c r="C6" t="s">
        <v>65</v>
      </c>
      <c r="D6" t="s">
        <v>66</v>
      </c>
      <c r="E6">
        <v>1</v>
      </c>
      <c r="F6" t="s">
        <v>11</v>
      </c>
    </row>
    <row r="7" spans="1:6" x14ac:dyDescent="0.25">
      <c r="A7" t="s">
        <v>180</v>
      </c>
      <c r="B7" t="s">
        <v>181</v>
      </c>
      <c r="C7" t="s">
        <v>157</v>
      </c>
      <c r="D7" t="s">
        <v>182</v>
      </c>
      <c r="E7">
        <v>1</v>
      </c>
      <c r="F7" t="s">
        <v>11</v>
      </c>
    </row>
    <row r="8" spans="1:6" x14ac:dyDescent="0.25">
      <c r="A8" t="s">
        <v>183</v>
      </c>
      <c r="B8" t="s">
        <v>184</v>
      </c>
      <c r="C8" t="s">
        <v>18</v>
      </c>
      <c r="D8" t="s">
        <v>19</v>
      </c>
      <c r="E8">
        <v>1</v>
      </c>
      <c r="F8" t="s">
        <v>11</v>
      </c>
    </row>
    <row r="9" spans="1:6" x14ac:dyDescent="0.25">
      <c r="A9" t="s">
        <v>183</v>
      </c>
      <c r="B9" t="s">
        <v>184</v>
      </c>
      <c r="C9" t="s">
        <v>68</v>
      </c>
      <c r="D9" t="s">
        <v>69</v>
      </c>
      <c r="E9">
        <v>2</v>
      </c>
      <c r="F9" t="s">
        <v>11</v>
      </c>
    </row>
    <row r="10" spans="1:6" x14ac:dyDescent="0.25">
      <c r="A10" t="s">
        <v>183</v>
      </c>
      <c r="B10" t="s">
        <v>184</v>
      </c>
      <c r="C10" t="s">
        <v>51</v>
      </c>
      <c r="D10" t="s">
        <v>185</v>
      </c>
      <c r="E10">
        <v>1</v>
      </c>
      <c r="F10" t="s">
        <v>11</v>
      </c>
    </row>
    <row r="11" spans="1:6" x14ac:dyDescent="0.25">
      <c r="A11" t="s">
        <v>183</v>
      </c>
      <c r="B11" t="s">
        <v>184</v>
      </c>
      <c r="C11" t="s">
        <v>55</v>
      </c>
      <c r="D11" t="s">
        <v>185</v>
      </c>
      <c r="E11">
        <v>2</v>
      </c>
      <c r="F11" t="s">
        <v>11</v>
      </c>
    </row>
    <row r="12" spans="1:6" x14ac:dyDescent="0.25">
      <c r="A12" t="s">
        <v>183</v>
      </c>
      <c r="B12" t="s">
        <v>184</v>
      </c>
      <c r="C12" t="s">
        <v>134</v>
      </c>
      <c r="D12" t="s">
        <v>186</v>
      </c>
      <c r="E12">
        <v>1</v>
      </c>
      <c r="F12" t="s">
        <v>11</v>
      </c>
    </row>
    <row r="13" spans="1:6" x14ac:dyDescent="0.25">
      <c r="A13" t="s">
        <v>187</v>
      </c>
      <c r="B13" t="s">
        <v>188</v>
      </c>
      <c r="C13" t="s">
        <v>36</v>
      </c>
      <c r="D13" t="s">
        <v>189</v>
      </c>
      <c r="E13">
        <v>1</v>
      </c>
      <c r="F13" t="s">
        <v>11</v>
      </c>
    </row>
    <row r="14" spans="1:6" x14ac:dyDescent="0.25">
      <c r="A14" t="s">
        <v>187</v>
      </c>
      <c r="B14" t="s">
        <v>188</v>
      </c>
      <c r="C14" t="s">
        <v>92</v>
      </c>
      <c r="D14" t="s">
        <v>190</v>
      </c>
      <c r="E14">
        <v>1</v>
      </c>
      <c r="F14" t="s">
        <v>11</v>
      </c>
    </row>
    <row r="15" spans="1:6" x14ac:dyDescent="0.25">
      <c r="A15" t="s">
        <v>187</v>
      </c>
      <c r="B15" t="s">
        <v>188</v>
      </c>
      <c r="C15" t="s">
        <v>95</v>
      </c>
      <c r="D15" t="s">
        <v>191</v>
      </c>
      <c r="E15">
        <v>1</v>
      </c>
      <c r="F15" t="s">
        <v>11</v>
      </c>
    </row>
    <row r="16" spans="1:6" x14ac:dyDescent="0.25">
      <c r="A16" t="s">
        <v>187</v>
      </c>
      <c r="B16" t="s">
        <v>188</v>
      </c>
      <c r="C16" t="s">
        <v>136</v>
      </c>
      <c r="D16" t="s">
        <v>137</v>
      </c>
      <c r="E16">
        <v>1</v>
      </c>
      <c r="F16" t="s">
        <v>11</v>
      </c>
    </row>
    <row r="17" spans="1:6" x14ac:dyDescent="0.25">
      <c r="A17" t="s">
        <v>187</v>
      </c>
      <c r="B17" t="s">
        <v>188</v>
      </c>
      <c r="C17" t="s">
        <v>129</v>
      </c>
      <c r="D17" t="s">
        <v>192</v>
      </c>
      <c r="E17">
        <v>1</v>
      </c>
      <c r="F17" t="s">
        <v>11</v>
      </c>
    </row>
    <row r="18" spans="1:6" x14ac:dyDescent="0.25">
      <c r="A18" t="s">
        <v>187</v>
      </c>
      <c r="B18" t="s">
        <v>188</v>
      </c>
      <c r="C18" t="s">
        <v>170</v>
      </c>
      <c r="D18" t="s">
        <v>171</v>
      </c>
      <c r="E18">
        <v>2</v>
      </c>
      <c r="F18" t="s">
        <v>11</v>
      </c>
    </row>
    <row r="19" spans="1:6" x14ac:dyDescent="0.25">
      <c r="A19" t="s">
        <v>43</v>
      </c>
      <c r="B19" t="s">
        <v>193</v>
      </c>
      <c r="C19" t="s">
        <v>44</v>
      </c>
      <c r="D19" t="s">
        <v>45</v>
      </c>
      <c r="E19">
        <v>1</v>
      </c>
      <c r="F19" t="s">
        <v>11</v>
      </c>
    </row>
    <row r="20" spans="1:6" x14ac:dyDescent="0.25">
      <c r="A20" t="s">
        <v>43</v>
      </c>
      <c r="B20" t="s">
        <v>193</v>
      </c>
      <c r="C20" t="s">
        <v>40</v>
      </c>
      <c r="D20" t="s">
        <v>194</v>
      </c>
      <c r="E20">
        <v>1</v>
      </c>
      <c r="F20" t="s">
        <v>11</v>
      </c>
    </row>
    <row r="21" spans="1:6" x14ac:dyDescent="0.25">
      <c r="A21" t="s">
        <v>43</v>
      </c>
      <c r="B21" t="s">
        <v>193</v>
      </c>
      <c r="C21" t="s">
        <v>107</v>
      </c>
      <c r="D21" t="s">
        <v>195</v>
      </c>
      <c r="E21">
        <v>1</v>
      </c>
      <c r="F21" t="s">
        <v>11</v>
      </c>
    </row>
    <row r="22" spans="1:6" x14ac:dyDescent="0.25">
      <c r="A22" t="s">
        <v>43</v>
      </c>
      <c r="B22" t="s">
        <v>193</v>
      </c>
      <c r="C22" t="s">
        <v>81</v>
      </c>
      <c r="D22" t="s">
        <v>82</v>
      </c>
      <c r="E22">
        <v>1</v>
      </c>
      <c r="F22" t="s">
        <v>11</v>
      </c>
    </row>
    <row r="23" spans="1:6" x14ac:dyDescent="0.25">
      <c r="A23" t="s">
        <v>43</v>
      </c>
      <c r="B23" t="s">
        <v>193</v>
      </c>
      <c r="C23" t="s">
        <v>170</v>
      </c>
      <c r="D23" t="s">
        <v>171</v>
      </c>
      <c r="E23">
        <v>1</v>
      </c>
      <c r="F23" t="s">
        <v>11</v>
      </c>
    </row>
    <row r="24" spans="1:6" x14ac:dyDescent="0.25">
      <c r="A24" t="s">
        <v>50</v>
      </c>
      <c r="B24" t="s">
        <v>196</v>
      </c>
      <c r="C24" t="s">
        <v>47</v>
      </c>
      <c r="D24" t="s">
        <v>197</v>
      </c>
      <c r="E24">
        <v>1</v>
      </c>
      <c r="F24" t="s">
        <v>11</v>
      </c>
    </row>
    <row r="25" spans="1:6" x14ac:dyDescent="0.25">
      <c r="A25" t="s">
        <v>50</v>
      </c>
      <c r="B25" t="s">
        <v>196</v>
      </c>
      <c r="C25" t="s">
        <v>84</v>
      </c>
      <c r="D25" t="s">
        <v>198</v>
      </c>
      <c r="E25">
        <v>1</v>
      </c>
      <c r="F25" t="s">
        <v>11</v>
      </c>
    </row>
    <row r="26" spans="1:6" x14ac:dyDescent="0.25">
      <c r="A26" t="s">
        <v>50</v>
      </c>
      <c r="B26" t="s">
        <v>196</v>
      </c>
      <c r="C26" t="s">
        <v>114</v>
      </c>
      <c r="D26" t="s">
        <v>69</v>
      </c>
      <c r="E26">
        <v>2</v>
      </c>
      <c r="F26" t="s">
        <v>11</v>
      </c>
    </row>
    <row r="27" spans="1:6" x14ac:dyDescent="0.25">
      <c r="A27" t="s">
        <v>50</v>
      </c>
      <c r="B27" t="s">
        <v>196</v>
      </c>
      <c r="C27" t="s">
        <v>151</v>
      </c>
      <c r="D27" t="s">
        <v>137</v>
      </c>
      <c r="E27">
        <v>1</v>
      </c>
      <c r="F27" t="s">
        <v>11</v>
      </c>
    </row>
    <row r="28" spans="1:6" x14ac:dyDescent="0.25">
      <c r="A28" t="s">
        <v>50</v>
      </c>
      <c r="B28" t="s">
        <v>196</v>
      </c>
      <c r="C28" t="s">
        <v>154</v>
      </c>
      <c r="D28" t="s">
        <v>199</v>
      </c>
      <c r="E28">
        <v>1</v>
      </c>
      <c r="F28" t="s">
        <v>11</v>
      </c>
    </row>
    <row r="29" spans="1:6" x14ac:dyDescent="0.25">
      <c r="A29" t="s">
        <v>13</v>
      </c>
      <c r="B29" t="s">
        <v>200</v>
      </c>
      <c r="C29" t="s">
        <v>9</v>
      </c>
      <c r="D29" t="s">
        <v>10</v>
      </c>
      <c r="E29">
        <v>1</v>
      </c>
      <c r="F29" t="s">
        <v>11</v>
      </c>
    </row>
    <row r="30" spans="1:6" x14ac:dyDescent="0.25">
      <c r="A30" t="s">
        <v>13</v>
      </c>
      <c r="B30" t="s">
        <v>200</v>
      </c>
      <c r="C30" t="s">
        <v>16</v>
      </c>
      <c r="D30" t="s">
        <v>17</v>
      </c>
      <c r="E30">
        <v>1</v>
      </c>
      <c r="F30" t="s">
        <v>11</v>
      </c>
    </row>
    <row r="31" spans="1:6" x14ac:dyDescent="0.25">
      <c r="A31" t="s">
        <v>13</v>
      </c>
      <c r="B31" t="s">
        <v>200</v>
      </c>
      <c r="C31" t="s">
        <v>79</v>
      </c>
      <c r="D31" t="s">
        <v>80</v>
      </c>
      <c r="E31">
        <v>1</v>
      </c>
      <c r="F31" t="s">
        <v>11</v>
      </c>
    </row>
  </sheetData>
  <autoFilter ref="A1:F3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style="2" customWidth="1"/>
    <col min="3" max="3" width="12" customWidth="1"/>
    <col min="4" max="4" width="14" customWidth="1"/>
    <col min="5" max="5" width="22" customWidth="1"/>
    <col min="6" max="6" width="8" customWidth="1"/>
    <col min="7" max="7" width="11" customWidth="1"/>
    <col min="8" max="8" width="14" customWidth="1"/>
    <col min="9" max="9" width="22" customWidth="1"/>
  </cols>
  <sheetData>
    <row r="1" ht="22" customHeight="1" spans="1:9" s="1" customFormat="1" x14ac:dyDescent="0.25">
      <c r="A1" s="1" t="s">
        <v>201</v>
      </c>
      <c r="B1" s="3" t="s">
        <v>202</v>
      </c>
      <c r="C1" s="1" t="s">
        <v>0</v>
      </c>
      <c r="D1" s="1" t="s">
        <v>1</v>
      </c>
      <c r="E1" s="1" t="s">
        <v>203</v>
      </c>
      <c r="F1" s="1" t="s">
        <v>3</v>
      </c>
      <c r="G1" s="1" t="s">
        <v>204</v>
      </c>
      <c r="H1" s="1" t="s">
        <v>205</v>
      </c>
      <c r="I1" s="1" t="s">
        <v>206</v>
      </c>
    </row>
    <row r="2" spans="1:9" x14ac:dyDescent="0.25">
      <c r="A2" t="s">
        <v>207</v>
      </c>
      <c r="B2" s="2">
        <v>46149</v>
      </c>
      <c r="C2" t="s">
        <v>9</v>
      </c>
      <c r="D2">
        <f>IF($C2="","",VLOOKUP($C2,物料档案表!$A:$D,2,FALSE))</f>
      </c>
      <c r="E2">
        <f>IF($C2="","",VLOOKUP($C2,物料档案表!$A:$D,3,FALSE))</f>
      </c>
      <c r="F2">
        <f>IF($C2="","",VLOOKUP($C2,物料档案表!$A:$D,4,FALSE))</f>
      </c>
      <c r="G2">
        <v>50000</v>
      </c>
      <c r="H2" t="s">
        <v>11</v>
      </c>
      <c r="I2" t="s">
        <v>208</v>
      </c>
    </row>
    <row r="3" spans="1:9" x14ac:dyDescent="0.25">
      <c r="A3" t="s">
        <v>209</v>
      </c>
      <c r="B3" s="2">
        <v>46149</v>
      </c>
      <c r="C3" t="s">
        <v>16</v>
      </c>
      <c r="D3">
        <f>IF($C3="","",VLOOKUP($C3,物料档案表!$A:$D,2,FALSE))</f>
      </c>
      <c r="E3">
        <f>IF($C3="","",VLOOKUP($C3,物料档案表!$A:$D,3,FALSE))</f>
      </c>
      <c r="F3">
        <f>IF($C3="","",VLOOKUP($C3,物料档案表!$A:$D,4,FALSE))</f>
      </c>
      <c r="G3">
        <v>100000</v>
      </c>
      <c r="H3" t="s">
        <v>11</v>
      </c>
      <c r="I3" t="s">
        <v>208</v>
      </c>
    </row>
    <row r="4" spans="1:9" x14ac:dyDescent="0.25">
      <c r="A4" t="s">
        <v>210</v>
      </c>
      <c r="B4" s="2">
        <v>46156</v>
      </c>
      <c r="C4" t="s">
        <v>18</v>
      </c>
      <c r="D4">
        <f>IF($C4="","",VLOOKUP($C4,物料档案表!$A:$D,2,FALSE))</f>
      </c>
      <c r="E4">
        <f>IF($C4="","",VLOOKUP($C4,物料档案表!$A:$D,3,FALSE))</f>
      </c>
      <c r="F4">
        <f>IF($C4="","",VLOOKUP($C4,物料档案表!$A:$D,4,FALSE))</f>
      </c>
      <c r="G4">
        <v>10000</v>
      </c>
      <c r="H4" t="s">
        <v>11</v>
      </c>
      <c r="I4" t="s">
        <v>211</v>
      </c>
    </row>
    <row r="5" spans="1:9" x14ac:dyDescent="0.25">
      <c r="A5" t="s">
        <v>212</v>
      </c>
      <c r="B5" s="2">
        <v>46156</v>
      </c>
      <c r="C5" t="s">
        <v>25</v>
      </c>
      <c r="D5">
        <f>IF($C5="","",VLOOKUP($C5,物料档案表!$A:$D,2,FALSE))</f>
      </c>
      <c r="E5">
        <f>IF($C5="","",VLOOKUP($C5,物料档案表!$A:$D,3,FALSE))</f>
      </c>
      <c r="F5">
        <f>IF($C5="","",VLOOKUP($C5,物料档案表!$A:$D,4,FALSE))</f>
      </c>
      <c r="G5">
        <v>10000</v>
      </c>
      <c r="H5" t="s">
        <v>11</v>
      </c>
      <c r="I5" t="s">
        <v>211</v>
      </c>
    </row>
    <row r="6" spans="1:9" x14ac:dyDescent="0.25">
      <c r="A6" t="s">
        <v>213</v>
      </c>
      <c r="B6" s="2">
        <v>46156</v>
      </c>
      <c r="C6" t="s">
        <v>68</v>
      </c>
      <c r="D6">
        <f>IF($C6="","",VLOOKUP($C6,物料档案表!$A:$D,2,FALSE))</f>
      </c>
      <c r="E6">
        <f>IF($C6="","",VLOOKUP($C6,物料档案表!$A:$D,3,FALSE))</f>
      </c>
      <c r="F6">
        <f>IF($C6="","",VLOOKUP($C6,物料档案表!$A:$D,4,FALSE))</f>
      </c>
      <c r="G6">
        <v>5000</v>
      </c>
      <c r="H6" t="s">
        <v>11</v>
      </c>
      <c r="I6" t="s">
        <v>214</v>
      </c>
    </row>
    <row r="7" spans="1:9" x14ac:dyDescent="0.25">
      <c r="A7" t="s">
        <v>215</v>
      </c>
      <c r="B7" s="2">
        <v>46157</v>
      </c>
      <c r="C7" t="s">
        <v>74</v>
      </c>
      <c r="D7">
        <f>IF($C7="","",VLOOKUP($C7,物料档案表!$A:$D,2,FALSE))</f>
      </c>
      <c r="E7">
        <f>IF($C7="","",VLOOKUP($C7,物料档案表!$A:$D,3,FALSE))</f>
      </c>
      <c r="F7">
        <f>IF($C7="","",VLOOKUP($C7,物料档案表!$A:$D,4,FALSE))</f>
      </c>
      <c r="G7">
        <v>15000</v>
      </c>
      <c r="H7" t="s">
        <v>11</v>
      </c>
      <c r="I7" t="s">
        <v>216</v>
      </c>
    </row>
    <row r="8" spans="1:9" x14ac:dyDescent="0.25">
      <c r="A8" t="s">
        <v>217</v>
      </c>
      <c r="B8" s="2">
        <v>46157</v>
      </c>
      <c r="C8" t="s">
        <v>79</v>
      </c>
      <c r="D8">
        <f>IF($C8="","",VLOOKUP($C8,物料档案表!$A:$D,2,FALSE))</f>
      </c>
      <c r="E8">
        <f>IF($C8="","",VLOOKUP($C8,物料档案表!$A:$D,3,FALSE))</f>
      </c>
      <c r="F8">
        <f>IF($C8="","",VLOOKUP($C8,物料档案表!$A:$D,4,FALSE))</f>
      </c>
      <c r="G8">
        <v>20000</v>
      </c>
      <c r="H8" t="s">
        <v>11</v>
      </c>
      <c r="I8" t="s">
        <v>208</v>
      </c>
    </row>
    <row r="9" spans="1:9" x14ac:dyDescent="0.25">
      <c r="A9" t="s">
        <v>218</v>
      </c>
      <c r="B9" s="2">
        <v>46162</v>
      </c>
      <c r="C9" t="s">
        <v>81</v>
      </c>
      <c r="D9">
        <f>IF($C9="","",VLOOKUP($C9,物料档案表!$A:$D,2,FALSE))</f>
      </c>
      <c r="E9">
        <f>IF($C9="","",VLOOKUP($C9,物料档案表!$A:$D,3,FALSE))</f>
      </c>
      <c r="F9">
        <f>IF($C9="","",VLOOKUP($C9,物料档案表!$A:$D,4,FALSE))</f>
      </c>
      <c r="G9">
        <v>3000</v>
      </c>
      <c r="H9" t="s">
        <v>11</v>
      </c>
      <c r="I9" t="s">
        <v>219</v>
      </c>
    </row>
    <row r="10" spans="1:9" x14ac:dyDescent="0.25">
      <c r="A10" t="s">
        <v>220</v>
      </c>
      <c r="B10" s="2">
        <v>46162</v>
      </c>
      <c r="C10" t="s">
        <v>27</v>
      </c>
      <c r="D10">
        <f>IF($C10="","",VLOOKUP($C10,物料档案表!$A:$D,2,FALSE))</f>
      </c>
      <c r="E10">
        <f>IF($C10="","",VLOOKUP($C10,物料档案表!$A:$D,3,FALSE))</f>
      </c>
      <c r="F10">
        <f>IF($C10="","",VLOOKUP($C10,物料档案表!$A:$D,4,FALSE))</f>
      </c>
      <c r="G10">
        <v>10000</v>
      </c>
      <c r="H10" t="s">
        <v>11</v>
      </c>
      <c r="I10" t="s">
        <v>221</v>
      </c>
    </row>
    <row r="11" spans="1:9" x14ac:dyDescent="0.25">
      <c r="A11" t="s">
        <v>222</v>
      </c>
      <c r="B11" s="2">
        <v>46165</v>
      </c>
      <c r="C11" t="s">
        <v>32</v>
      </c>
      <c r="D11">
        <f>IF($C11="","",VLOOKUP($C11,物料档案表!$A:$D,2,FALSE))</f>
      </c>
      <c r="E11">
        <f>IF($C11="","",VLOOKUP($C11,物料档案表!$A:$D,3,FALSE))</f>
      </c>
      <c r="F11">
        <f>IF($C11="","",VLOOKUP($C11,物料档案表!$A:$D,4,FALSE))</f>
      </c>
      <c r="G11">
        <v>3000</v>
      </c>
      <c r="H11" t="s">
        <v>11</v>
      </c>
      <c r="I11" t="s">
        <v>223</v>
      </c>
    </row>
    <row r="12" spans="1:9" x14ac:dyDescent="0.25">
      <c r="A12" t="s">
        <v>224</v>
      </c>
      <c r="B12" s="2">
        <v>46165</v>
      </c>
      <c r="C12" t="s">
        <v>36</v>
      </c>
      <c r="D12">
        <f>IF($C12="","",VLOOKUP($C12,物料档案表!$A:$D,2,FALSE))</f>
      </c>
      <c r="E12">
        <f>IF($C12="","",VLOOKUP($C12,物料档案表!$A:$D,3,FALSE))</f>
      </c>
      <c r="F12">
        <f>IF($C12="","",VLOOKUP($C12,物料档案表!$A:$D,4,FALSE))</f>
      </c>
      <c r="G12">
        <v>5000</v>
      </c>
      <c r="H12" t="s">
        <v>11</v>
      </c>
      <c r="I12" t="s">
        <v>225</v>
      </c>
    </row>
    <row r="13" spans="1:9" x14ac:dyDescent="0.25">
      <c r="A13" t="s">
        <v>226</v>
      </c>
      <c r="B13" s="2">
        <v>46165</v>
      </c>
      <c r="C13" t="s">
        <v>84</v>
      </c>
      <c r="D13">
        <f>IF($C13="","",VLOOKUP($C13,物料档案表!$A:$D,2,FALSE))</f>
      </c>
      <c r="E13">
        <f>IF($C13="","",VLOOKUP($C13,物料档案表!$A:$D,3,FALSE))</f>
      </c>
      <c r="F13">
        <f>IF($C13="","",VLOOKUP($C13,物料档案表!$A:$D,4,FALSE))</f>
      </c>
      <c r="G13">
        <v>10000</v>
      </c>
      <c r="H13" t="s">
        <v>11</v>
      </c>
      <c r="I13" t="s">
        <v>227</v>
      </c>
    </row>
    <row r="14" spans="1:9" x14ac:dyDescent="0.25">
      <c r="A14" t="s">
        <v>228</v>
      </c>
      <c r="B14" s="2">
        <v>46165</v>
      </c>
      <c r="C14" t="s">
        <v>88</v>
      </c>
      <c r="D14">
        <f>IF($C14="","",VLOOKUP($C14,物料档案表!$A:$D,2,FALSE))</f>
      </c>
      <c r="E14">
        <f>IF($C14="","",VLOOKUP($C14,物料档案表!$A:$D,3,FALSE))</f>
      </c>
      <c r="F14">
        <f>IF($C14="","",VLOOKUP($C14,物料档案表!$A:$D,4,FALSE))</f>
      </c>
      <c r="G14">
        <v>20000</v>
      </c>
      <c r="H14" t="s">
        <v>11</v>
      </c>
      <c r="I14" t="s">
        <v>229</v>
      </c>
    </row>
    <row r="15" spans="1:9" x14ac:dyDescent="0.25">
      <c r="A15" t="s">
        <v>230</v>
      </c>
      <c r="B15" s="2">
        <v>46165</v>
      </c>
      <c r="C15" t="s">
        <v>92</v>
      </c>
      <c r="D15">
        <f>IF($C15="","",VLOOKUP($C15,物料档案表!$A:$D,2,FALSE))</f>
      </c>
      <c r="E15">
        <f>IF($C15="","",VLOOKUP($C15,物料档案表!$A:$D,3,FALSE))</f>
      </c>
      <c r="F15">
        <f>IF($C15="","",VLOOKUP($C15,物料档案表!$A:$D,4,FALSE))</f>
      </c>
      <c r="G15">
        <v>1000</v>
      </c>
      <c r="H15" t="s">
        <v>11</v>
      </c>
      <c r="I15" t="s">
        <v>225</v>
      </c>
    </row>
    <row r="16" spans="1:9" x14ac:dyDescent="0.25">
      <c r="A16" t="s">
        <v>231</v>
      </c>
      <c r="B16" s="2">
        <v>46165</v>
      </c>
      <c r="C16" t="s">
        <v>95</v>
      </c>
      <c r="D16">
        <f>IF($C16="","",VLOOKUP($C16,物料档案表!$A:$D,2,FALSE))</f>
      </c>
      <c r="E16">
        <f>IF($C16="","",VLOOKUP($C16,物料档案表!$A:$D,3,FALSE))</f>
      </c>
      <c r="F16">
        <f>IF($C16="","",VLOOKUP($C16,物料档案表!$A:$D,4,FALSE))</f>
      </c>
      <c r="G16">
        <v>1000</v>
      </c>
      <c r="H16" t="s">
        <v>11</v>
      </c>
      <c r="I16" t="s">
        <v>225</v>
      </c>
    </row>
    <row r="17" spans="1:9" x14ac:dyDescent="0.25">
      <c r="A17" t="s">
        <v>232</v>
      </c>
      <c r="B17" s="2">
        <v>46165</v>
      </c>
      <c r="C17" t="s">
        <v>97</v>
      </c>
      <c r="D17">
        <f>IF($C17="","",VLOOKUP($C17,物料档案表!$A:$D,2,FALSE))</f>
      </c>
      <c r="E17">
        <f>IF($C17="","",VLOOKUP($C17,物料档案表!$A:$D,3,FALSE))</f>
      </c>
      <c r="F17">
        <f>IF($C17="","",VLOOKUP($C17,物料档案表!$A:$D,4,FALSE))</f>
      </c>
      <c r="G17">
        <v>70</v>
      </c>
      <c r="H17" t="s">
        <v>11</v>
      </c>
      <c r="I17" t="s">
        <v>233</v>
      </c>
    </row>
    <row r="18" spans="1:9" x14ac:dyDescent="0.25">
      <c r="A18" t="s">
        <v>234</v>
      </c>
      <c r="B18" s="2">
        <v>46165</v>
      </c>
      <c r="C18" t="s">
        <v>100</v>
      </c>
      <c r="D18">
        <f>IF($C18="","",VLOOKUP($C18,物料档案表!$A:$D,2,FALSE))</f>
      </c>
      <c r="E18">
        <f>IF($C18="","",VLOOKUP($C18,物料档案表!$A:$D,3,FALSE))</f>
      </c>
      <c r="F18">
        <f>IF($C18="","",VLOOKUP($C18,物料档案表!$A:$D,4,FALSE))</f>
      </c>
      <c r="G18">
        <v>600</v>
      </c>
      <c r="H18" t="s">
        <v>11</v>
      </c>
      <c r="I18" t="s">
        <v>235</v>
      </c>
    </row>
    <row r="19" spans="1:9" x14ac:dyDescent="0.25">
      <c r="A19" t="s">
        <v>236</v>
      </c>
      <c r="B19" s="2">
        <v>46165</v>
      </c>
      <c r="C19" t="s">
        <v>104</v>
      </c>
      <c r="D19">
        <f>IF($C19="","",VLOOKUP($C19,物料档案表!$A:$D,2,FALSE))</f>
      </c>
      <c r="E19">
        <f>IF($C19="","",VLOOKUP($C19,物料档案表!$A:$D,3,FALSE))</f>
      </c>
      <c r="F19">
        <f>IF($C19="","",VLOOKUP($C19,物料档案表!$A:$D,4,FALSE))</f>
      </c>
      <c r="G19">
        <v>695</v>
      </c>
      <c r="H19" t="s">
        <v>11</v>
      </c>
      <c r="I19" t="s">
        <v>237</v>
      </c>
    </row>
    <row r="20" spans="1:9" x14ac:dyDescent="0.25">
      <c r="A20" t="s">
        <v>238</v>
      </c>
      <c r="B20" s="2">
        <v>46165</v>
      </c>
      <c r="C20" t="s">
        <v>104</v>
      </c>
      <c r="D20">
        <f>IF($C20="","",VLOOKUP($C20,物料档案表!$A:$D,2,FALSE))</f>
      </c>
      <c r="E20">
        <f>IF($C20="","",VLOOKUP($C20,物料档案表!$A:$D,3,FALSE))</f>
      </c>
      <c r="F20">
        <f>IF($C20="","",VLOOKUP($C20,物料档案表!$A:$D,4,FALSE))</f>
      </c>
      <c r="G20">
        <v>300</v>
      </c>
      <c r="H20" t="s">
        <v>11</v>
      </c>
      <c r="I20" t="s">
        <v>239</v>
      </c>
    </row>
    <row r="21" spans="1:9" x14ac:dyDescent="0.25">
      <c r="A21" t="s">
        <v>240</v>
      </c>
      <c r="B21" s="2">
        <v>46165</v>
      </c>
      <c r="C21" t="s">
        <v>170</v>
      </c>
      <c r="D21">
        <f>IF($C21="","",VLOOKUP($C21,物料档案表!$A:$D,2,FALSE))</f>
      </c>
      <c r="E21">
        <f>IF($C21="","",VLOOKUP($C21,物料档案表!$A:$D,3,FALSE))</f>
      </c>
      <c r="F21">
        <f>IF($C21="","",VLOOKUP($C21,物料档案表!$A:$D,4,FALSE))</f>
      </c>
      <c r="G21">
        <v>500</v>
      </c>
      <c r="H21" t="s">
        <v>11</v>
      </c>
      <c r="I21" t="s">
        <v>241</v>
      </c>
    </row>
    <row r="22" spans="1:9" x14ac:dyDescent="0.25">
      <c r="A22" t="s">
        <v>242</v>
      </c>
      <c r="B22" s="2">
        <v>46165</v>
      </c>
      <c r="C22" t="s">
        <v>170</v>
      </c>
      <c r="D22">
        <f>IF($C22="","",VLOOKUP($C22,物料档案表!$A:$D,2,FALSE))</f>
      </c>
      <c r="E22">
        <f>IF($C22="","",VLOOKUP($C22,物料档案表!$A:$D,3,FALSE))</f>
      </c>
      <c r="F22">
        <f>IF($C22="","",VLOOKUP($C22,物料档案表!$A:$D,4,FALSE))</f>
      </c>
      <c r="G22">
        <v>1000</v>
      </c>
      <c r="H22" t="s">
        <v>11</v>
      </c>
      <c r="I22" t="s">
        <v>243</v>
      </c>
    </row>
    <row r="23" spans="1:9" x14ac:dyDescent="0.25">
      <c r="A23" t="s">
        <v>244</v>
      </c>
      <c r="B23" s="2">
        <v>46165</v>
      </c>
      <c r="C23" t="s">
        <v>170</v>
      </c>
      <c r="D23">
        <f>IF($C23="","",VLOOKUP($C23,物料档案表!$A:$D,2,FALSE))</f>
      </c>
      <c r="E23">
        <f>IF($C23="","",VLOOKUP($C23,物料档案表!$A:$D,3,FALSE))</f>
      </c>
      <c r="F23">
        <f>IF($C23="","",VLOOKUP($C23,物料档案表!$A:$D,4,FALSE))</f>
      </c>
      <c r="G23">
        <v>225</v>
      </c>
      <c r="H23" t="s">
        <v>11</v>
      </c>
      <c r="I23" t="s">
        <v>245</v>
      </c>
    </row>
    <row r="24" spans="1:9" x14ac:dyDescent="0.25">
      <c r="A24" t="s">
        <v>246</v>
      </c>
      <c r="B24" s="2">
        <v>46166</v>
      </c>
      <c r="C24" t="s">
        <v>107</v>
      </c>
      <c r="D24">
        <f>IF($C24="","",VLOOKUP($C24,物料档案表!$A:$D,2,FALSE))</f>
      </c>
      <c r="E24">
        <f>IF($C24="","",VLOOKUP($C24,物料档案表!$A:$D,3,FALSE))</f>
      </c>
      <c r="F24">
        <f>IF($C24="","",VLOOKUP($C24,物料档案表!$A:$D,4,FALSE))</f>
      </c>
      <c r="G24">
        <v>2500</v>
      </c>
      <c r="H24" t="s">
        <v>11</v>
      </c>
      <c r="I24" t="s">
        <v>241</v>
      </c>
    </row>
    <row r="25" spans="1:9" x14ac:dyDescent="0.25">
      <c r="A25" t="s">
        <v>247</v>
      </c>
      <c r="B25" s="2">
        <v>46166</v>
      </c>
      <c r="C25" t="s">
        <v>109</v>
      </c>
      <c r="D25">
        <f>IF($C25="","",VLOOKUP($C25,物料档案表!$A:$D,2,FALSE))</f>
      </c>
      <c r="E25">
        <f>IF($C25="","",VLOOKUP($C25,物料档案表!$A:$D,3,FALSE))</f>
      </c>
      <c r="F25">
        <f>IF($C25="","",VLOOKUP($C25,物料档案表!$A:$D,4,FALSE))</f>
      </c>
      <c r="G25">
        <v>2500</v>
      </c>
      <c r="H25" t="s">
        <v>11</v>
      </c>
      <c r="I25" t="s">
        <v>241</v>
      </c>
    </row>
    <row r="26" spans="1:9" x14ac:dyDescent="0.25">
      <c r="A26" t="s">
        <v>248</v>
      </c>
      <c r="B26" s="2">
        <v>46168</v>
      </c>
      <c r="C26" t="s">
        <v>40</v>
      </c>
      <c r="D26">
        <f>IF($C26="","",VLOOKUP($C26,物料档案表!$A:$D,2,FALSE))</f>
      </c>
      <c r="E26">
        <f>IF($C26="","",VLOOKUP($C26,物料档案表!$A:$D,3,FALSE))</f>
      </c>
      <c r="F26">
        <f>IF($C26="","",VLOOKUP($C26,物料档案表!$A:$D,4,FALSE))</f>
      </c>
      <c r="G26">
        <v>3000</v>
      </c>
      <c r="H26" t="s">
        <v>11</v>
      </c>
      <c r="I26" t="s">
        <v>241</v>
      </c>
    </row>
    <row r="27" spans="1:9" x14ac:dyDescent="0.25">
      <c r="A27" t="s">
        <v>249</v>
      </c>
      <c r="B27" s="2">
        <v>46171</v>
      </c>
      <c r="C27" t="s">
        <v>111</v>
      </c>
      <c r="D27">
        <f>IF($C27="","",VLOOKUP($C27,物料档案表!$A:$D,2,FALSE))</f>
      </c>
      <c r="E27">
        <f>IF($C27="","",VLOOKUP($C27,物料档案表!$A:$D,3,FALSE))</f>
      </c>
      <c r="F27">
        <f>IF($C27="","",VLOOKUP($C27,物料档案表!$A:$D,4,FALSE))</f>
      </c>
      <c r="G27">
        <v>2000</v>
      </c>
      <c r="H27" t="s">
        <v>11</v>
      </c>
      <c r="I27" t="s">
        <v>250</v>
      </c>
    </row>
    <row r="28" spans="1:9" x14ac:dyDescent="0.25">
      <c r="A28" t="s">
        <v>251</v>
      </c>
      <c r="B28" s="2">
        <v>46171</v>
      </c>
      <c r="C28" t="s">
        <v>114</v>
      </c>
      <c r="D28">
        <f>IF($C28="","",VLOOKUP($C28,物料档案表!$A:$D,2,FALSE))</f>
      </c>
      <c r="E28">
        <f>IF($C28="","",VLOOKUP($C28,物料档案表!$A:$D,3,FALSE))</f>
      </c>
      <c r="F28">
        <f>IF($C28="","",VLOOKUP($C28,物料档案表!$A:$D,4,FALSE))</f>
      </c>
      <c r="G28">
        <v>200</v>
      </c>
      <c r="H28" t="s">
        <v>11</v>
      </c>
      <c r="I28" t="s">
        <v>252</v>
      </c>
    </row>
    <row r="29" spans="1:9" x14ac:dyDescent="0.25">
      <c r="A29" t="s">
        <v>253</v>
      </c>
      <c r="B29" s="2">
        <v>46174</v>
      </c>
      <c r="C29" t="s">
        <v>116</v>
      </c>
      <c r="D29">
        <f>IF($C29="","",VLOOKUP($C29,物料档案表!$A:$D,2,FALSE))</f>
      </c>
      <c r="E29">
        <f>IF($C29="","",VLOOKUP($C29,物料档案表!$A:$D,3,FALSE))</f>
      </c>
      <c r="F29">
        <f>IF($C29="","",VLOOKUP($C29,物料档案表!$A:$D,4,FALSE))</f>
      </c>
      <c r="G29">
        <v>40</v>
      </c>
      <c r="H29" t="s">
        <v>11</v>
      </c>
      <c r="I29" t="s">
        <v>254</v>
      </c>
    </row>
    <row r="30" spans="1:9" x14ac:dyDescent="0.25">
      <c r="A30" t="s">
        <v>255</v>
      </c>
      <c r="B30" s="2">
        <v>46174</v>
      </c>
      <c r="C30" t="s">
        <v>121</v>
      </c>
      <c r="D30">
        <f>IF($C30="","",VLOOKUP($C30,物料档案表!$A:$D,2,FALSE))</f>
      </c>
      <c r="E30">
        <f>IF($C30="","",VLOOKUP($C30,物料档案表!$A:$D,3,FALSE))</f>
      </c>
      <c r="F30">
        <f>IF($C30="","",VLOOKUP($C30,物料档案表!$A:$D,4,FALSE))</f>
      </c>
      <c r="G30">
        <v>15</v>
      </c>
      <c r="H30" t="s">
        <v>11</v>
      </c>
      <c r="I30" t="s">
        <v>256</v>
      </c>
    </row>
    <row r="31" spans="1:9" x14ac:dyDescent="0.25">
      <c r="A31" t="s">
        <v>257</v>
      </c>
      <c r="B31" s="2">
        <v>46175</v>
      </c>
      <c r="C31" t="s">
        <v>123</v>
      </c>
      <c r="D31">
        <f>IF($C31="","",VLOOKUP($C31,物料档案表!$A:$D,2,FALSE))</f>
      </c>
      <c r="E31">
        <f>IF($C31="","",VLOOKUP($C31,物料档案表!$A:$D,3,FALSE))</f>
      </c>
      <c r="F31">
        <f>IF($C31="","",VLOOKUP($C31,物料档案表!$A:$D,4,FALSE))</f>
      </c>
      <c r="G31">
        <v>10000</v>
      </c>
      <c r="H31" t="s">
        <v>11</v>
      </c>
      <c r="I31" t="s">
        <v>258</v>
      </c>
    </row>
    <row r="32" spans="1:9" x14ac:dyDescent="0.25">
      <c r="A32" t="s">
        <v>259</v>
      </c>
      <c r="B32" s="2">
        <v>46176</v>
      </c>
      <c r="C32" t="s">
        <v>44</v>
      </c>
      <c r="D32">
        <f>IF($C32="","",VLOOKUP($C32,物料档案表!$A:$D,2,FALSE))</f>
      </c>
      <c r="E32">
        <f>IF($C32="","",VLOOKUP($C32,物料档案表!$A:$D,3,FALSE))</f>
      </c>
      <c r="F32">
        <f>IF($C32="","",VLOOKUP($C32,物料档案表!$A:$D,4,FALSE))</f>
      </c>
      <c r="G32">
        <v>759</v>
      </c>
      <c r="H32" t="s">
        <v>11</v>
      </c>
      <c r="I32" t="s">
        <v>241</v>
      </c>
    </row>
    <row r="33" spans="1:9" x14ac:dyDescent="0.25">
      <c r="A33" t="s">
        <v>260</v>
      </c>
      <c r="B33" s="2">
        <v>46177</v>
      </c>
      <c r="C33" t="s">
        <v>68</v>
      </c>
      <c r="D33">
        <f>IF($C33="","",VLOOKUP($C33,物料档案表!$A:$D,2,FALSE))</f>
      </c>
      <c r="E33">
        <f>IF($C33="","",VLOOKUP($C33,物料档案表!$A:$D,3,FALSE))</f>
      </c>
      <c r="F33">
        <f>IF($C33="","",VLOOKUP($C33,物料档案表!$A:$D,4,FALSE))</f>
      </c>
      <c r="G33">
        <v>5000</v>
      </c>
      <c r="H33" t="s">
        <v>11</v>
      </c>
      <c r="I33" t="s">
        <v>261</v>
      </c>
    </row>
    <row r="34" spans="1:9" x14ac:dyDescent="0.25">
      <c r="A34" t="s">
        <v>262</v>
      </c>
      <c r="B34" s="2">
        <v>46178</v>
      </c>
      <c r="C34" t="s">
        <v>95</v>
      </c>
      <c r="D34">
        <f>IF($C34="","",VLOOKUP($C34,物料档案表!$A:$D,2,FALSE))</f>
      </c>
      <c r="E34">
        <f>IF($C34="","",VLOOKUP($C34,物料档案表!$A:$D,3,FALSE))</f>
      </c>
      <c r="F34">
        <f>IF($C34="","",VLOOKUP($C34,物料档案表!$A:$D,4,FALSE))</f>
      </c>
      <c r="G34">
        <v>1014</v>
      </c>
      <c r="H34" t="s">
        <v>11</v>
      </c>
      <c r="I34" t="s">
        <v>225</v>
      </c>
    </row>
    <row r="35" spans="1:9" x14ac:dyDescent="0.25">
      <c r="A35" t="s">
        <v>263</v>
      </c>
      <c r="B35" s="2">
        <v>46178</v>
      </c>
      <c r="C35" t="s">
        <v>97</v>
      </c>
      <c r="D35">
        <f>IF($C35="","",VLOOKUP($C35,物料档案表!$A:$D,2,FALSE))</f>
      </c>
      <c r="E35">
        <f>IF($C35="","",VLOOKUP($C35,物料档案表!$A:$D,3,FALSE))</f>
      </c>
      <c r="F35">
        <f>IF($C35="","",VLOOKUP($C35,物料档案表!$A:$D,4,FALSE))</f>
      </c>
      <c r="G35">
        <v>40</v>
      </c>
      <c r="H35" t="s">
        <v>11</v>
      </c>
      <c r="I35" t="s">
        <v>233</v>
      </c>
    </row>
    <row r="36" spans="1:9" x14ac:dyDescent="0.25">
      <c r="A36" t="s">
        <v>264</v>
      </c>
      <c r="B36" s="2">
        <v>46178</v>
      </c>
      <c r="C36" t="s">
        <v>126</v>
      </c>
      <c r="D36">
        <f>IF($C36="","",VLOOKUP($C36,物料档案表!$A:$D,2,FALSE))</f>
      </c>
      <c r="E36">
        <f>IF($C36="","",VLOOKUP($C36,物料档案表!$A:$D,3,FALSE))</f>
      </c>
      <c r="F36">
        <f>IF($C36="","",VLOOKUP($C36,物料档案表!$A:$D,4,FALSE))</f>
      </c>
      <c r="G36">
        <v>1002</v>
      </c>
      <c r="H36" t="s">
        <v>11</v>
      </c>
      <c r="I36" t="s">
        <v>265</v>
      </c>
    </row>
    <row r="37" spans="1:9" x14ac:dyDescent="0.25">
      <c r="A37" t="s">
        <v>266</v>
      </c>
      <c r="B37" s="2">
        <v>46178</v>
      </c>
      <c r="C37" t="s">
        <v>100</v>
      </c>
      <c r="D37">
        <f>IF($C37="","",VLOOKUP($C37,物料档案表!$A:$D,2,FALSE))</f>
      </c>
      <c r="E37">
        <f>IF($C37="","",VLOOKUP($C37,物料档案表!$A:$D,3,FALSE))</f>
      </c>
      <c r="F37">
        <f>IF($C37="","",VLOOKUP($C37,物料档案表!$A:$D,4,FALSE))</f>
      </c>
      <c r="G37">
        <v>403</v>
      </c>
      <c r="H37" t="s">
        <v>11</v>
      </c>
      <c r="I37" t="s">
        <v>235</v>
      </c>
    </row>
    <row r="38" spans="1:9" x14ac:dyDescent="0.25">
      <c r="A38" t="s">
        <v>267</v>
      </c>
      <c r="B38" s="2">
        <v>46178</v>
      </c>
      <c r="C38" t="s">
        <v>104</v>
      </c>
      <c r="D38">
        <f>IF($C38="","",VLOOKUP($C38,物料档案表!$A:$D,2,FALSE))</f>
      </c>
      <c r="E38">
        <f>IF($C38="","",VLOOKUP($C38,物料档案表!$A:$D,3,FALSE))</f>
      </c>
      <c r="F38">
        <f>IF($C38="","",VLOOKUP($C38,物料档案表!$A:$D,4,FALSE))</f>
      </c>
      <c r="G38">
        <v>800</v>
      </c>
      <c r="H38" t="s">
        <v>11</v>
      </c>
      <c r="I38" t="s">
        <v>237</v>
      </c>
    </row>
    <row r="39" spans="1:9" x14ac:dyDescent="0.25">
      <c r="A39" t="s">
        <v>268</v>
      </c>
      <c r="B39" s="2">
        <v>46178</v>
      </c>
      <c r="C39" t="s">
        <v>104</v>
      </c>
      <c r="D39">
        <f>IF($C39="","",VLOOKUP($C39,物料档案表!$A:$D,2,FALSE))</f>
      </c>
      <c r="E39">
        <f>IF($C39="","",VLOOKUP($C39,物料档案表!$A:$D,3,FALSE))</f>
      </c>
      <c r="F39">
        <f>IF($C39="","",VLOOKUP($C39,物料档案表!$A:$D,4,FALSE))</f>
      </c>
      <c r="G39">
        <v>200</v>
      </c>
      <c r="H39" t="s">
        <v>11</v>
      </c>
      <c r="I39" t="s">
        <v>239</v>
      </c>
    </row>
    <row r="40" spans="1:9" x14ac:dyDescent="0.25">
      <c r="A40" t="s">
        <v>269</v>
      </c>
      <c r="B40" s="2">
        <v>46179</v>
      </c>
      <c r="C40" t="s">
        <v>47</v>
      </c>
      <c r="D40">
        <f>IF($C40="","",VLOOKUP($C40,物料档案表!$A:$D,2,FALSE))</f>
      </c>
      <c r="E40">
        <f>IF($C40="","",VLOOKUP($C40,物料档案表!$A:$D,3,FALSE))</f>
      </c>
      <c r="F40">
        <f>IF($C40="","",VLOOKUP($C40,物料档案表!$A:$D,4,FALSE))</f>
      </c>
      <c r="G40">
        <v>2000</v>
      </c>
      <c r="H40" t="s">
        <v>11</v>
      </c>
      <c r="I40" t="s">
        <v>270</v>
      </c>
    </row>
    <row r="41" spans="1:9" x14ac:dyDescent="0.25">
      <c r="A41" t="s">
        <v>271</v>
      </c>
      <c r="B41" s="2">
        <v>46179</v>
      </c>
      <c r="C41" t="s">
        <v>51</v>
      </c>
      <c r="D41">
        <f>IF($C41="","",VLOOKUP($C41,物料档案表!$A:$D,2,FALSE))</f>
      </c>
      <c r="E41">
        <f>IF($C41="","",VLOOKUP($C41,物料档案表!$A:$D,3,FALSE))</f>
      </c>
      <c r="F41">
        <f>IF($C41="","",VLOOKUP($C41,物料档案表!$A:$D,4,FALSE))</f>
      </c>
      <c r="G41">
        <v>6000</v>
      </c>
      <c r="H41" t="s">
        <v>11</v>
      </c>
      <c r="I41" t="s">
        <v>272</v>
      </c>
    </row>
    <row r="42" spans="1:9" x14ac:dyDescent="0.25">
      <c r="A42" t="s">
        <v>273</v>
      </c>
      <c r="B42" s="2">
        <v>46179</v>
      </c>
      <c r="C42" t="s">
        <v>55</v>
      </c>
      <c r="D42">
        <f>IF($C42="","",VLOOKUP($C42,物料档案表!$A:$D,2,FALSE))</f>
      </c>
      <c r="E42">
        <f>IF($C42="","",VLOOKUP($C42,物料档案表!$A:$D,3,FALSE))</f>
      </c>
      <c r="F42">
        <f>IF($C42="","",VLOOKUP($C42,物料档案表!$A:$D,4,FALSE))</f>
      </c>
      <c r="G42">
        <v>12000</v>
      </c>
      <c r="H42" t="s">
        <v>11</v>
      </c>
      <c r="I42" t="s">
        <v>272</v>
      </c>
    </row>
    <row r="43" spans="1:9" x14ac:dyDescent="0.25">
      <c r="A43" t="s">
        <v>274</v>
      </c>
      <c r="B43" s="2">
        <v>46181</v>
      </c>
      <c r="C43" t="s">
        <v>129</v>
      </c>
      <c r="D43">
        <f>IF($C43="","",VLOOKUP($C43,物料档案表!$A:$D,2,FALSE))</f>
      </c>
      <c r="E43">
        <f>IF($C43="","",VLOOKUP($C43,物料档案表!$A:$D,3,FALSE))</f>
      </c>
      <c r="F43">
        <f>IF($C43="","",VLOOKUP($C43,物料档案表!$A:$D,4,FALSE))</f>
      </c>
      <c r="G43">
        <v>5000</v>
      </c>
      <c r="H43" t="s">
        <v>11</v>
      </c>
      <c r="I43" t="s">
        <v>275</v>
      </c>
    </row>
    <row r="44" spans="1:9" x14ac:dyDescent="0.25">
      <c r="A44" t="s">
        <v>276</v>
      </c>
      <c r="B44" s="2">
        <v>46184</v>
      </c>
      <c r="C44" t="s">
        <v>131</v>
      </c>
      <c r="D44">
        <f>IF($C44="","",VLOOKUP($C44,物料档案表!$A:$D,2,FALSE))</f>
      </c>
      <c r="E44">
        <f>IF($C44="","",VLOOKUP($C44,物料档案表!$A:$D,3,FALSE))</f>
      </c>
      <c r="F44">
        <f>IF($C44="","",VLOOKUP($C44,物料档案表!$A:$D,4,FALSE))</f>
      </c>
      <c r="G44">
        <v>150</v>
      </c>
      <c r="H44" t="s">
        <v>11</v>
      </c>
      <c r="I44" t="s">
        <v>277</v>
      </c>
    </row>
    <row r="45" spans="1:9" x14ac:dyDescent="0.25">
      <c r="A45" t="s">
        <v>278</v>
      </c>
      <c r="B45" s="2">
        <v>46184</v>
      </c>
      <c r="C45" t="s">
        <v>134</v>
      </c>
      <c r="D45">
        <f>IF($C45="","",VLOOKUP($C45,物料档案表!$A:$D,2,FALSE))</f>
      </c>
      <c r="E45">
        <f>IF($C45="","",VLOOKUP($C45,物料档案表!$A:$D,3,FALSE))</f>
      </c>
      <c r="F45">
        <f>IF($C45="","",VLOOKUP($C45,物料档案表!$A:$D,4,FALSE))</f>
      </c>
      <c r="G45">
        <v>3000</v>
      </c>
      <c r="H45" t="s">
        <v>11</v>
      </c>
      <c r="I45" t="s">
        <v>279</v>
      </c>
    </row>
    <row r="46" spans="1:9" x14ac:dyDescent="0.25">
      <c r="A46" t="s">
        <v>280</v>
      </c>
      <c r="B46" s="2">
        <v>46184</v>
      </c>
      <c r="C46" t="s">
        <v>97</v>
      </c>
      <c r="D46">
        <f>IF($C46="","",VLOOKUP($C46,物料档案表!$A:$D,2,FALSE))</f>
      </c>
      <c r="E46">
        <f>IF($C46="","",VLOOKUP($C46,物料档案表!$A:$D,3,FALSE))</f>
      </c>
      <c r="F46">
        <f>IF($C46="","",VLOOKUP($C46,物料档案表!$A:$D,4,FALSE))</f>
      </c>
      <c r="G46">
        <v>80</v>
      </c>
      <c r="H46" t="s">
        <v>11</v>
      </c>
      <c r="I46" t="s">
        <v>281</v>
      </c>
    </row>
    <row r="47" spans="1:9" x14ac:dyDescent="0.25">
      <c r="A47" t="s">
        <v>282</v>
      </c>
      <c r="B47" s="2">
        <v>46187</v>
      </c>
      <c r="C47" t="s">
        <v>92</v>
      </c>
      <c r="D47">
        <f>IF($C47="","",VLOOKUP($C47,物料档案表!$A:$D,2,FALSE))</f>
      </c>
      <c r="E47">
        <f>IF($C47="","",VLOOKUP($C47,物料档案表!$A:$D,3,FALSE))</f>
      </c>
      <c r="F47">
        <f>IF($C47="","",VLOOKUP($C47,物料档案表!$A:$D,4,FALSE))</f>
      </c>
      <c r="G47">
        <v>400</v>
      </c>
      <c r="H47" t="s">
        <v>11</v>
      </c>
      <c r="I47" t="s">
        <v>275</v>
      </c>
    </row>
    <row r="48" spans="1:9" x14ac:dyDescent="0.25">
      <c r="A48" t="s">
        <v>283</v>
      </c>
      <c r="B48" s="2">
        <v>46197</v>
      </c>
      <c r="C48" t="s">
        <v>57</v>
      </c>
      <c r="D48">
        <f>IF($C48="","",VLOOKUP($C48,物料档案表!$A:$D,2,FALSE))</f>
      </c>
      <c r="E48">
        <f>IF($C48="","",VLOOKUP($C48,物料档案表!$A:$D,3,FALSE))</f>
      </c>
      <c r="F48">
        <f>IF($C48="","",VLOOKUP($C48,物料档案表!$A:$D,4,FALSE))</f>
      </c>
      <c r="G48">
        <v>20000</v>
      </c>
      <c r="H48" t="s">
        <v>11</v>
      </c>
      <c r="I48" t="s">
        <v>284</v>
      </c>
    </row>
    <row r="49" spans="1:9" x14ac:dyDescent="0.25">
      <c r="A49" t="s">
        <v>285</v>
      </c>
      <c r="B49" s="2">
        <v>46200</v>
      </c>
      <c r="C49" t="s">
        <v>92</v>
      </c>
      <c r="D49">
        <f>IF($C49="","",VLOOKUP($C49,物料档案表!$A:$D,2,FALSE))</f>
      </c>
      <c r="E49">
        <f>IF($C49="","",VLOOKUP($C49,物料档案表!$A:$D,3,FALSE))</f>
      </c>
      <c r="F49">
        <f>IF($C49="","",VLOOKUP($C49,物料档案表!$A:$D,4,FALSE))</f>
      </c>
      <c r="G49">
        <v>1000</v>
      </c>
      <c r="H49" t="s">
        <v>11</v>
      </c>
      <c r="I49" t="s">
        <v>275</v>
      </c>
    </row>
    <row r="50" spans="1:9" x14ac:dyDescent="0.25">
      <c r="A50" t="s">
        <v>286</v>
      </c>
      <c r="B50" s="2">
        <v>46200</v>
      </c>
      <c r="C50" t="s">
        <v>136</v>
      </c>
      <c r="D50">
        <f>IF($C50="","",VLOOKUP($C50,物料档案表!$A:$D,2,FALSE))</f>
      </c>
      <c r="E50">
        <f>IF($C50="","",VLOOKUP($C50,物料档案表!$A:$D,3,FALSE))</f>
      </c>
      <c r="F50">
        <f>IF($C50="","",VLOOKUP($C50,物料档案表!$A:$D,4,FALSE))</f>
      </c>
      <c r="G50">
        <v>2006</v>
      </c>
      <c r="H50" t="s">
        <v>11</v>
      </c>
      <c r="I50" t="s">
        <v>275</v>
      </c>
    </row>
    <row r="51" spans="1:9" x14ac:dyDescent="0.25">
      <c r="A51" t="s">
        <v>287</v>
      </c>
      <c r="B51" s="2">
        <v>46200</v>
      </c>
      <c r="C51" t="s">
        <v>97</v>
      </c>
      <c r="D51">
        <f>IF($C51="","",VLOOKUP($C51,物料档案表!$A:$D,2,FALSE))</f>
      </c>
      <c r="E51">
        <f>IF($C51="","",VLOOKUP($C51,物料档案表!$A:$D,3,FALSE))</f>
      </c>
      <c r="F51">
        <f>IF($C51="","",VLOOKUP($C51,物料档案表!$A:$D,4,FALSE))</f>
      </c>
      <c r="G51">
        <v>111</v>
      </c>
      <c r="H51" t="s">
        <v>11</v>
      </c>
      <c r="I51" t="s">
        <v>229</v>
      </c>
    </row>
    <row r="52" spans="1:9" x14ac:dyDescent="0.25">
      <c r="A52" t="s">
        <v>288</v>
      </c>
      <c r="B52" s="2">
        <v>46207</v>
      </c>
      <c r="C52" t="s">
        <v>36</v>
      </c>
      <c r="D52">
        <f>IF($C52="","",VLOOKUP($C52,物料档案表!$A:$D,2,FALSE))</f>
      </c>
      <c r="E52">
        <f>IF($C52="","",VLOOKUP($C52,物料档案表!$A:$D,3,FALSE))</f>
      </c>
      <c r="F52">
        <f>IF($C52="","",VLOOKUP($C52,物料档案表!$A:$D,4,FALSE))</f>
      </c>
      <c r="G52">
        <v>5000</v>
      </c>
      <c r="H52" t="s">
        <v>11</v>
      </c>
      <c r="I52" t="s">
        <v>225</v>
      </c>
    </row>
    <row r="53" spans="1:9" x14ac:dyDescent="0.25">
      <c r="A53" t="s">
        <v>289</v>
      </c>
      <c r="B53" s="2">
        <v>46207</v>
      </c>
      <c r="C53" t="s">
        <v>61</v>
      </c>
      <c r="D53">
        <f>IF($C53="","",VLOOKUP($C53,物料档案表!$A:$D,2,FALSE))</f>
      </c>
      <c r="E53">
        <f>IF($C53="","",VLOOKUP($C53,物料档案表!$A:$D,3,FALSE))</f>
      </c>
      <c r="F53">
        <f>IF($C53="","",VLOOKUP($C53,物料档案表!$A:$D,4,FALSE))</f>
      </c>
      <c r="G53">
        <v>4000</v>
      </c>
      <c r="H53" t="s">
        <v>11</v>
      </c>
      <c r="I53" t="s">
        <v>290</v>
      </c>
    </row>
    <row r="54" spans="1:9" x14ac:dyDescent="0.25">
      <c r="A54" t="s">
        <v>291</v>
      </c>
      <c r="B54" s="2">
        <v>46211</v>
      </c>
      <c r="C54" t="s">
        <v>44</v>
      </c>
      <c r="D54">
        <f>IF($C54="","",VLOOKUP($C54,物料档案表!$A:$D,2,FALSE))</f>
      </c>
      <c r="E54">
        <f>IF($C54="","",VLOOKUP($C54,物料档案表!$A:$D,3,FALSE))</f>
      </c>
      <c r="F54">
        <f>IF($C54="","",VLOOKUP($C54,物料档案表!$A:$D,4,FALSE))</f>
      </c>
      <c r="G54">
        <v>1114</v>
      </c>
      <c r="H54" t="s">
        <v>11</v>
      </c>
      <c r="I54" t="s">
        <v>241</v>
      </c>
    </row>
    <row r="55" spans="1:9" x14ac:dyDescent="0.25">
      <c r="A55" t="s">
        <v>292</v>
      </c>
      <c r="B55" s="2">
        <v>46214</v>
      </c>
      <c r="C55" t="s">
        <v>68</v>
      </c>
      <c r="D55">
        <f>IF($C55="","",VLOOKUP($C55,物料档案表!$A:$D,2,FALSE))</f>
      </c>
      <c r="E55">
        <f>IF($C55="","",VLOOKUP($C55,物料档案表!$A:$D,3,FALSE))</f>
      </c>
      <c r="F55">
        <f>IF($C55="","",VLOOKUP($C55,物料档案表!$A:$D,4,FALSE))</f>
      </c>
      <c r="G55">
        <v>5000</v>
      </c>
      <c r="H55" t="s">
        <v>11</v>
      </c>
      <c r="I55" t="s">
        <v>261</v>
      </c>
    </row>
    <row r="56" spans="1:9" x14ac:dyDescent="0.25">
      <c r="A56" t="s">
        <v>293</v>
      </c>
      <c r="B56" s="2">
        <v>46214</v>
      </c>
      <c r="C56" t="s">
        <v>32</v>
      </c>
      <c r="D56">
        <f>IF($C56="","",VLOOKUP($C56,物料档案表!$A:$D,2,FALSE))</f>
      </c>
      <c r="E56">
        <f>IF($C56="","",VLOOKUP($C56,物料档案表!$A:$D,3,FALSE))</f>
      </c>
      <c r="F56">
        <f>IF($C56="","",VLOOKUP($C56,物料档案表!$A:$D,4,FALSE))</f>
      </c>
      <c r="G56">
        <v>5000</v>
      </c>
      <c r="H56" t="s">
        <v>11</v>
      </c>
      <c r="I56" t="s">
        <v>223</v>
      </c>
    </row>
    <row r="57" spans="1:9" x14ac:dyDescent="0.25">
      <c r="A57" t="s">
        <v>294</v>
      </c>
      <c r="B57" s="2">
        <v>46214</v>
      </c>
      <c r="C57" t="s">
        <v>65</v>
      </c>
      <c r="D57">
        <f>IF($C57="","",VLOOKUP($C57,物料档案表!$A:$D,2,FALSE))</f>
      </c>
      <c r="E57">
        <f>IF($C57="","",VLOOKUP($C57,物料档案表!$A:$D,3,FALSE))</f>
      </c>
      <c r="F57">
        <f>IF($C57="","",VLOOKUP($C57,物料档案表!$A:$D,4,FALSE))</f>
      </c>
      <c r="G57">
        <v>2000</v>
      </c>
      <c r="H57" t="s">
        <v>11</v>
      </c>
      <c r="I57" t="s">
        <v>284</v>
      </c>
    </row>
    <row r="58" spans="1:9" x14ac:dyDescent="0.25">
      <c r="A58" t="s">
        <v>295</v>
      </c>
      <c r="B58" s="2">
        <v>46218</v>
      </c>
      <c r="C58" t="s">
        <v>116</v>
      </c>
      <c r="D58">
        <f>IF($C58="","",VLOOKUP($C58,物料档案表!$A:$D,2,FALSE))</f>
      </c>
      <c r="E58">
        <f>IF($C58="","",VLOOKUP($C58,物料档案表!$A:$D,3,FALSE))</f>
      </c>
      <c r="F58">
        <f>IF($C58="","",VLOOKUP($C58,物料档案表!$A:$D,4,FALSE))</f>
      </c>
      <c r="G58">
        <v>50</v>
      </c>
      <c r="H58" t="s">
        <v>11</v>
      </c>
      <c r="I58" t="s">
        <v>296</v>
      </c>
    </row>
    <row r="59" spans="1:9" x14ac:dyDescent="0.25">
      <c r="A59" t="s">
        <v>297</v>
      </c>
      <c r="B59" s="2">
        <v>46218</v>
      </c>
      <c r="C59" t="s">
        <v>121</v>
      </c>
      <c r="D59">
        <f>IF($C59="","",VLOOKUP($C59,物料档案表!$A:$D,2,FALSE))</f>
      </c>
      <c r="E59">
        <f>IF($C59="","",VLOOKUP($C59,物料档案表!$A:$D,3,FALSE))</f>
      </c>
      <c r="F59">
        <f>IF($C59="","",VLOOKUP($C59,物料档案表!$A:$D,4,FALSE))</f>
      </c>
      <c r="G59">
        <v>25</v>
      </c>
      <c r="H59" t="s">
        <v>11</v>
      </c>
      <c r="I59" t="s">
        <v>296</v>
      </c>
    </row>
    <row r="60" spans="1:9" x14ac:dyDescent="0.25">
      <c r="A60" t="s">
        <v>298</v>
      </c>
      <c r="B60" s="2">
        <v>46218</v>
      </c>
      <c r="C60" t="s">
        <v>138</v>
      </c>
      <c r="D60">
        <f>IF($C60="","",VLOOKUP($C60,物料档案表!$A:$D,2,FALSE))</f>
      </c>
      <c r="E60">
        <f>IF($C60="","",VLOOKUP($C60,物料档案表!$A:$D,3,FALSE))</f>
      </c>
      <c r="F60">
        <f>IF($C60="","",VLOOKUP($C60,物料档案表!$A:$D,4,FALSE))</f>
      </c>
      <c r="G60">
        <v>20</v>
      </c>
      <c r="H60" t="s">
        <v>11</v>
      </c>
      <c r="I60" t="s">
        <v>296</v>
      </c>
    </row>
    <row r="61" spans="1:9" x14ac:dyDescent="0.25">
      <c r="A61" t="s">
        <v>299</v>
      </c>
      <c r="B61" s="2">
        <v>46218</v>
      </c>
      <c r="C61" t="s">
        <v>140</v>
      </c>
      <c r="D61">
        <f>IF($C61="","",VLOOKUP($C61,物料档案表!$A:$D,2,FALSE))</f>
      </c>
      <c r="E61">
        <f>IF($C61="","",VLOOKUP($C61,物料档案表!$A:$D,3,FALSE))</f>
      </c>
      <c r="F61">
        <f>IF($C61="","",VLOOKUP($C61,物料档案表!$A:$D,4,FALSE))</f>
      </c>
      <c r="G61">
        <v>20</v>
      </c>
      <c r="H61" t="s">
        <v>11</v>
      </c>
      <c r="I61" t="s">
        <v>296</v>
      </c>
    </row>
    <row r="62" spans="1:9" x14ac:dyDescent="0.25">
      <c r="A62" t="s">
        <v>300</v>
      </c>
      <c r="B62" s="2">
        <v>46218</v>
      </c>
      <c r="C62" t="s">
        <v>142</v>
      </c>
      <c r="D62">
        <f>IF($C62="","",VLOOKUP($C62,物料档案表!$A:$D,2,FALSE))</f>
      </c>
      <c r="E62">
        <f>IF($C62="","",VLOOKUP($C62,物料档案表!$A:$D,3,FALSE))</f>
      </c>
      <c r="F62">
        <f>IF($C62="","",VLOOKUP($C62,物料档案表!$A:$D,4,FALSE))</f>
      </c>
      <c r="G62">
        <v>30</v>
      </c>
      <c r="H62" t="s">
        <v>11</v>
      </c>
      <c r="I62" t="s">
        <v>296</v>
      </c>
    </row>
    <row r="63" spans="1:9" x14ac:dyDescent="0.25">
      <c r="A63" t="s">
        <v>301</v>
      </c>
      <c r="B63" s="2">
        <v>46221</v>
      </c>
      <c r="C63" t="s">
        <v>136</v>
      </c>
      <c r="D63">
        <f>IF($C63="","",VLOOKUP($C63,物料档案表!$A:$D,2,FALSE))</f>
      </c>
      <c r="E63">
        <f>IF($C63="","",VLOOKUP($C63,物料档案表!$A:$D,3,FALSE))</f>
      </c>
      <c r="F63">
        <f>IF($C63="","",VLOOKUP($C63,物料档案表!$A:$D,4,FALSE))</f>
      </c>
      <c r="G63">
        <v>3320</v>
      </c>
      <c r="H63" t="s">
        <v>11</v>
      </c>
      <c r="I63" t="s">
        <v>225</v>
      </c>
    </row>
    <row r="64" spans="1:9" x14ac:dyDescent="0.25">
      <c r="A64" t="s">
        <v>302</v>
      </c>
      <c r="B64" s="2">
        <v>46221</v>
      </c>
      <c r="C64" t="s">
        <v>144</v>
      </c>
      <c r="D64">
        <f>IF($C64="","",VLOOKUP($C64,物料档案表!$A:$D,2,FALSE))</f>
      </c>
      <c r="E64">
        <f>IF($C64="","",VLOOKUP($C64,物料档案表!$A:$D,3,FALSE))</f>
      </c>
      <c r="F64">
        <f>IF($C64="","",VLOOKUP($C64,物料档案表!$A:$D,4,FALSE))</f>
      </c>
      <c r="G64">
        <v>1000</v>
      </c>
      <c r="H64" t="s">
        <v>11</v>
      </c>
      <c r="I64" t="s">
        <v>225</v>
      </c>
    </row>
    <row r="65" spans="1:9" x14ac:dyDescent="0.25">
      <c r="A65" t="s">
        <v>303</v>
      </c>
      <c r="B65" s="2">
        <v>46221</v>
      </c>
      <c r="C65" t="s">
        <v>146</v>
      </c>
      <c r="D65">
        <f>IF($C65="","",VLOOKUP($C65,物料档案表!$A:$D,2,FALSE))</f>
      </c>
      <c r="E65">
        <f>IF($C65="","",VLOOKUP($C65,物料档案表!$A:$D,3,FALSE))</f>
      </c>
      <c r="F65">
        <f>IF($C65="","",VLOOKUP($C65,物料档案表!$A:$D,4,FALSE))</f>
      </c>
      <c r="G65">
        <v>1024</v>
      </c>
      <c r="H65" t="s">
        <v>11</v>
      </c>
      <c r="I65" t="s">
        <v>225</v>
      </c>
    </row>
    <row r="66" spans="1:9" x14ac:dyDescent="0.25">
      <c r="A66" t="s">
        <v>304</v>
      </c>
      <c r="B66" s="2">
        <v>46221</v>
      </c>
      <c r="C66" t="s">
        <v>134</v>
      </c>
      <c r="D66">
        <f>IF($C66="","",VLOOKUP($C66,物料档案表!$A:$D,2,FALSE))</f>
      </c>
      <c r="E66">
        <f>IF($C66="","",VLOOKUP($C66,物料档案表!$A:$D,3,FALSE))</f>
      </c>
      <c r="F66">
        <f>IF($C66="","",VLOOKUP($C66,物料档案表!$A:$D,4,FALSE))</f>
      </c>
      <c r="G66">
        <v>3030</v>
      </c>
      <c r="H66" t="s">
        <v>11</v>
      </c>
      <c r="I66" t="s">
        <v>272</v>
      </c>
    </row>
    <row r="67" spans="1:9" x14ac:dyDescent="0.25">
      <c r="A67" t="s">
        <v>305</v>
      </c>
      <c r="B67" s="2">
        <v>46221</v>
      </c>
      <c r="C67" t="s">
        <v>148</v>
      </c>
      <c r="D67">
        <f>IF($C67="","",VLOOKUP($C67,物料档案表!$A:$D,2,FALSE))</f>
      </c>
      <c r="E67">
        <f>IF($C67="","",VLOOKUP($C67,物料档案表!$A:$D,3,FALSE))</f>
      </c>
      <c r="F67">
        <f>IF($C67="","",VLOOKUP($C67,物料档案表!$A:$D,4,FALSE))</f>
      </c>
      <c r="G67">
        <v>32</v>
      </c>
      <c r="H67" t="s">
        <v>11</v>
      </c>
      <c r="I67" t="s">
        <v>225</v>
      </c>
    </row>
    <row r="68" spans="1:9" x14ac:dyDescent="0.25">
      <c r="A68" t="s">
        <v>306</v>
      </c>
      <c r="B68" s="2">
        <v>46221</v>
      </c>
      <c r="C68" t="s">
        <v>104</v>
      </c>
      <c r="D68">
        <f>IF($C68="","",VLOOKUP($C68,物料档案表!$A:$D,2,FALSE))</f>
      </c>
      <c r="E68">
        <f>IF($C68="","",VLOOKUP($C68,物料档案表!$A:$D,3,FALSE))</f>
      </c>
      <c r="F68">
        <f>IF($C68="","",VLOOKUP($C68,物料档案表!$A:$D,4,FALSE))</f>
      </c>
      <c r="G68">
        <v>250</v>
      </c>
      <c r="H68" t="s">
        <v>11</v>
      </c>
      <c r="I68" t="s">
        <v>307</v>
      </c>
    </row>
    <row r="69" spans="1:9" x14ac:dyDescent="0.25">
      <c r="A69" t="s">
        <v>308</v>
      </c>
      <c r="B69" s="2">
        <v>46221</v>
      </c>
      <c r="C69" t="s">
        <v>100</v>
      </c>
      <c r="D69">
        <f>IF($C69="","",VLOOKUP($C69,物料档案表!$A:$D,2,FALSE))</f>
      </c>
      <c r="E69">
        <f>IF($C69="","",VLOOKUP($C69,物料档案表!$A:$D,3,FALSE))</f>
      </c>
      <c r="F69">
        <f>IF($C69="","",VLOOKUP($C69,物料档案表!$A:$D,4,FALSE))</f>
      </c>
      <c r="G69">
        <v>1002</v>
      </c>
      <c r="H69" t="s">
        <v>11</v>
      </c>
      <c r="I69" t="s">
        <v>307</v>
      </c>
    </row>
    <row r="70" spans="1:9" x14ac:dyDescent="0.25">
      <c r="A70" t="s">
        <v>309</v>
      </c>
      <c r="B70" s="2">
        <v>46221</v>
      </c>
      <c r="C70" t="s">
        <v>97</v>
      </c>
      <c r="D70">
        <f>IF($C70="","",VLOOKUP($C70,物料档案表!$A:$D,2,FALSE))</f>
      </c>
      <c r="E70">
        <f>IF($C70="","",VLOOKUP($C70,物料档案表!$A:$D,3,FALSE))</f>
      </c>
      <c r="F70">
        <f>IF($C70="","",VLOOKUP($C70,物料档案表!$A:$D,4,FALSE))</f>
      </c>
      <c r="G70">
        <v>180</v>
      </c>
      <c r="H70" t="s">
        <v>11</v>
      </c>
      <c r="I70" t="s">
        <v>229</v>
      </c>
    </row>
    <row r="71" spans="1:9" x14ac:dyDescent="0.25">
      <c r="A71" t="s">
        <v>310</v>
      </c>
      <c r="B71" s="2">
        <v>46223</v>
      </c>
      <c r="C71" t="s">
        <v>18</v>
      </c>
      <c r="D71">
        <f>IF($C71="","",VLOOKUP($C71,物料档案表!$A:$D,2,FALSE))</f>
      </c>
      <c r="E71">
        <f>IF($C71="","",VLOOKUP($C71,物料档案表!$A:$D,3,FALSE))</f>
      </c>
      <c r="F71">
        <f>IF($C71="","",VLOOKUP($C71,物料档案表!$A:$D,4,FALSE))</f>
      </c>
      <c r="G71">
        <v>10000</v>
      </c>
      <c r="H71" t="s">
        <v>11</v>
      </c>
      <c r="I71" t="s">
        <v>211</v>
      </c>
    </row>
    <row r="72" spans="1:9" x14ac:dyDescent="0.25">
      <c r="A72" t="s">
        <v>311</v>
      </c>
      <c r="B72" s="2">
        <v>46223</v>
      </c>
      <c r="C72" t="s">
        <v>25</v>
      </c>
      <c r="D72">
        <f>IF($C72="","",VLOOKUP($C72,物料档案表!$A:$D,2,FALSE))</f>
      </c>
      <c r="E72">
        <f>IF($C72="","",VLOOKUP($C72,物料档案表!$A:$D,3,FALSE))</f>
      </c>
      <c r="F72">
        <f>IF($C72="","",VLOOKUP($C72,物料档案表!$A:$D,4,FALSE))</f>
      </c>
      <c r="G72">
        <v>10000</v>
      </c>
      <c r="H72" t="s">
        <v>11</v>
      </c>
      <c r="I72" t="s">
        <v>211</v>
      </c>
    </row>
    <row r="73" spans="1:9" x14ac:dyDescent="0.25">
      <c r="A73" t="s">
        <v>312</v>
      </c>
      <c r="B73" s="2">
        <v>46224</v>
      </c>
      <c r="C73" t="s">
        <v>27</v>
      </c>
      <c r="D73">
        <f>IF($C73="","",VLOOKUP($C73,物料档案表!$A:$D,2,FALSE))</f>
      </c>
      <c r="E73">
        <f>IF($C73="","",VLOOKUP($C73,物料档案表!$A:$D,3,FALSE))</f>
      </c>
      <c r="F73">
        <f>IF($C73="","",VLOOKUP($C73,物料档案表!$A:$D,4,FALSE))</f>
      </c>
      <c r="G73">
        <v>5000</v>
      </c>
      <c r="H73" t="s">
        <v>11</v>
      </c>
      <c r="I73" t="s">
        <v>221</v>
      </c>
    </row>
    <row r="74" spans="1:9" x14ac:dyDescent="0.25">
      <c r="A74" t="s">
        <v>313</v>
      </c>
      <c r="B74" s="2">
        <v>46225</v>
      </c>
      <c r="C74" t="s">
        <v>129</v>
      </c>
      <c r="D74">
        <f>IF($C74="","",VLOOKUP($C74,物料档案表!$A:$D,2,FALSE))</f>
      </c>
      <c r="E74">
        <f>IF($C74="","",VLOOKUP($C74,物料档案表!$A:$D,3,FALSE))</f>
      </c>
      <c r="F74">
        <f>IF($C74="","",VLOOKUP($C74,物料档案表!$A:$D,4,FALSE))</f>
      </c>
      <c r="G74">
        <v>5000</v>
      </c>
      <c r="H74" t="s">
        <v>11</v>
      </c>
      <c r="I74" t="s">
        <v>225</v>
      </c>
    </row>
    <row r="75" spans="1:9" x14ac:dyDescent="0.25">
      <c r="A75" t="s">
        <v>314</v>
      </c>
      <c r="B75" s="2">
        <v>46226</v>
      </c>
      <c r="C75" t="s">
        <v>68</v>
      </c>
      <c r="D75">
        <f>IF($C75="","",VLOOKUP($C75,物料档案表!$A:$D,2,FALSE))</f>
      </c>
      <c r="E75">
        <f>IF($C75="","",VLOOKUP($C75,物料档案表!$A:$D,3,FALSE))</f>
      </c>
      <c r="F75">
        <f>IF($C75="","",VLOOKUP($C75,物料档案表!$A:$D,4,FALSE))</f>
      </c>
      <c r="G75">
        <v>5000</v>
      </c>
      <c r="H75" t="s">
        <v>11</v>
      </c>
      <c r="I75" t="s">
        <v>261</v>
      </c>
    </row>
    <row r="76" spans="1:9" x14ac:dyDescent="0.25">
      <c r="A76" t="s">
        <v>315</v>
      </c>
      <c r="B76" s="2">
        <v>46226</v>
      </c>
      <c r="C76" t="s">
        <v>150</v>
      </c>
      <c r="D76">
        <f>IF($C76="","",VLOOKUP($C76,物料档案表!$A:$D,2,FALSE))</f>
      </c>
      <c r="E76">
        <f>IF($C76="","",VLOOKUP($C76,物料档案表!$A:$D,3,FALSE))</f>
      </c>
      <c r="F76">
        <f>IF($C76="","",VLOOKUP($C76,物料档案表!$A:$D,4,FALSE))</f>
      </c>
      <c r="G76">
        <v>10000</v>
      </c>
      <c r="H76" t="s">
        <v>11</v>
      </c>
      <c r="I76" t="s">
        <v>284</v>
      </c>
    </row>
    <row r="77" spans="1:9" x14ac:dyDescent="0.25">
      <c r="A77" t="s">
        <v>316</v>
      </c>
      <c r="B77" s="2">
        <v>46227</v>
      </c>
      <c r="C77" t="s">
        <v>74</v>
      </c>
      <c r="D77">
        <f>IF($C77="","",VLOOKUP($C77,物料档案表!$A:$D,2,FALSE))</f>
      </c>
      <c r="E77">
        <f>IF($C77="","",VLOOKUP($C77,物料档案表!$A:$D,3,FALSE))</f>
      </c>
      <c r="F77">
        <f>IF($C77="","",VLOOKUP($C77,物料档案表!$A:$D,4,FALSE))</f>
      </c>
      <c r="G77">
        <v>5000</v>
      </c>
      <c r="H77" t="s">
        <v>11</v>
      </c>
      <c r="I77" t="s">
        <v>214</v>
      </c>
    </row>
    <row r="78" spans="1:9" x14ac:dyDescent="0.25">
      <c r="A78" t="s">
        <v>317</v>
      </c>
      <c r="B78" s="2">
        <v>46227</v>
      </c>
      <c r="C78" t="s">
        <v>151</v>
      </c>
      <c r="D78">
        <f>IF($C78="","",VLOOKUP($C78,物料档案表!$A:$D,2,FALSE))</f>
      </c>
      <c r="E78">
        <f>IF($C78="","",VLOOKUP($C78,物料档案表!$A:$D,3,FALSE))</f>
      </c>
      <c r="F78">
        <f>IF($C78="","",VLOOKUP($C78,物料档案表!$A:$D,4,FALSE))</f>
      </c>
      <c r="G78">
        <v>1030</v>
      </c>
      <c r="H78" t="s">
        <v>11</v>
      </c>
      <c r="I78" t="s">
        <v>270</v>
      </c>
    </row>
    <row r="79" spans="1:9" x14ac:dyDescent="0.25">
      <c r="A79" t="s">
        <v>318</v>
      </c>
      <c r="B79" s="2">
        <v>46227</v>
      </c>
      <c r="C79" t="s">
        <v>153</v>
      </c>
      <c r="D79">
        <f>IF($C79="","",VLOOKUP($C79,物料档案表!$A:$D,2,FALSE))</f>
      </c>
      <c r="E79">
        <f>IF($C79="","",VLOOKUP($C79,物料档案表!$A:$D,3,FALSE))</f>
      </c>
      <c r="F79">
        <f>IF($C79="","",VLOOKUP($C79,物料档案表!$A:$D,4,FALSE))</f>
      </c>
      <c r="G79">
        <v>1014</v>
      </c>
      <c r="H79" t="s">
        <v>11</v>
      </c>
      <c r="I79" t="s">
        <v>270</v>
      </c>
    </row>
    <row r="80" spans="1:9" x14ac:dyDescent="0.25">
      <c r="A80" t="s">
        <v>319</v>
      </c>
      <c r="B80" s="2">
        <v>46227</v>
      </c>
      <c r="C80" t="s">
        <v>154</v>
      </c>
      <c r="D80">
        <f>IF($C80="","",VLOOKUP($C80,物料档案表!$A:$D,2,FALSE))</f>
      </c>
      <c r="E80">
        <f>IF($C80="","",VLOOKUP($C80,物料档案表!$A:$D,3,FALSE))</f>
      </c>
      <c r="F80">
        <f>IF($C80="","",VLOOKUP($C80,物料档案表!$A:$D,4,FALSE))</f>
      </c>
      <c r="G80">
        <v>60</v>
      </c>
      <c r="H80" t="s">
        <v>11</v>
      </c>
      <c r="I80" t="s">
        <v>270</v>
      </c>
    </row>
    <row r="81" spans="1:9" x14ac:dyDescent="0.25">
      <c r="A81" t="s">
        <v>320</v>
      </c>
      <c r="B81" s="2">
        <v>46227</v>
      </c>
      <c r="C81" t="s">
        <v>157</v>
      </c>
      <c r="D81">
        <f>IF($C81="","",VLOOKUP($C81,物料档案表!$A:$D,2,FALSE))</f>
      </c>
      <c r="E81">
        <f>IF($C81="","",VLOOKUP($C81,物料档案表!$A:$D,3,FALSE))</f>
      </c>
      <c r="F81">
        <f>IF($C81="","",VLOOKUP($C81,物料档案表!$A:$D,4,FALSE))</f>
      </c>
      <c r="G81">
        <v>61</v>
      </c>
      <c r="H81" t="s">
        <v>11</v>
      </c>
      <c r="I81" t="s">
        <v>284</v>
      </c>
    </row>
    <row r="82" spans="1:9" x14ac:dyDescent="0.25">
      <c r="A82" t="s">
        <v>321</v>
      </c>
      <c r="B82" s="2">
        <v>46227</v>
      </c>
      <c r="C82" t="s">
        <v>144</v>
      </c>
      <c r="D82">
        <f>IF($C82="","",VLOOKUP($C82,物料档案表!$A:$D,2,FALSE))</f>
      </c>
      <c r="E82">
        <f>IF($C82="","",VLOOKUP($C82,物料档案表!$A:$D,3,FALSE))</f>
      </c>
      <c r="F82">
        <f>IF($C82="","",VLOOKUP($C82,物料档案表!$A:$D,4,FALSE))</f>
      </c>
      <c r="G82">
        <v>1020</v>
      </c>
      <c r="H82" t="s">
        <v>11</v>
      </c>
      <c r="I82" t="s">
        <v>225</v>
      </c>
    </row>
    <row r="83" spans="1:9" x14ac:dyDescent="0.25">
      <c r="A83" t="s">
        <v>322</v>
      </c>
      <c r="B83" s="2">
        <v>46227</v>
      </c>
      <c r="C83" t="s">
        <v>160</v>
      </c>
      <c r="D83">
        <f>IF($C83="","",VLOOKUP($C83,物料档案表!$A:$D,2,FALSE))</f>
      </c>
      <c r="E83">
        <f>IF($C83="","",VLOOKUP($C83,物料档案表!$A:$D,3,FALSE))</f>
      </c>
      <c r="F83">
        <f>IF($C83="","",VLOOKUP($C83,物料档案表!$A:$D,4,FALSE))</f>
      </c>
      <c r="G83">
        <v>500</v>
      </c>
      <c r="H83" t="s">
        <v>11</v>
      </c>
      <c r="I83" t="s">
        <v>323</v>
      </c>
    </row>
    <row r="84" spans="1:9" x14ac:dyDescent="0.25">
      <c r="A84" t="s">
        <v>324</v>
      </c>
      <c r="B84" s="2">
        <v>46227</v>
      </c>
      <c r="C84" t="s">
        <v>163</v>
      </c>
      <c r="D84">
        <f>IF($C84="","",VLOOKUP($C84,物料档案表!$A:$D,2,FALSE))</f>
      </c>
      <c r="E84">
        <f>IF($C84="","",VLOOKUP($C84,物料档案表!$A:$D,3,FALSE))</f>
      </c>
      <c r="F84">
        <f>IF($C84="","",VLOOKUP($C84,物料档案表!$A:$D,4,FALSE))</f>
      </c>
      <c r="G84">
        <v>540</v>
      </c>
      <c r="H84" t="s">
        <v>11</v>
      </c>
      <c r="I84" t="s">
        <v>323</v>
      </c>
    </row>
    <row r="85" spans="1:9" x14ac:dyDescent="0.25">
      <c r="A85" t="s">
        <v>325</v>
      </c>
      <c r="B85" s="2">
        <v>46227</v>
      </c>
      <c r="C85" t="s">
        <v>104</v>
      </c>
      <c r="D85">
        <f>IF($C85="","",VLOOKUP($C85,物料档案表!$A:$D,2,FALSE))</f>
      </c>
      <c r="E85">
        <f>IF($C85="","",VLOOKUP($C85,物料档案表!$A:$D,3,FALSE))</f>
      </c>
      <c r="F85">
        <f>IF($C85="","",VLOOKUP($C85,物料档案表!$A:$D,4,FALSE))</f>
      </c>
      <c r="G85">
        <v>704</v>
      </c>
      <c r="H85" t="s">
        <v>11</v>
      </c>
      <c r="I85" t="s">
        <v>307</v>
      </c>
    </row>
    <row r="86" spans="1:9" x14ac:dyDescent="0.25">
      <c r="A86" t="s">
        <v>326</v>
      </c>
      <c r="B86" s="2">
        <v>46227</v>
      </c>
      <c r="C86" t="s">
        <v>165</v>
      </c>
      <c r="D86">
        <f>IF($C86="","",VLOOKUP($C86,物料档案表!$A:$D,2,FALSE))</f>
      </c>
      <c r="E86">
        <f>IF($C86="","",VLOOKUP($C86,物料档案表!$A:$D,3,FALSE))</f>
      </c>
      <c r="F86">
        <f>IF($C86="","",VLOOKUP($C86,物料档案表!$A:$D,4,FALSE))</f>
      </c>
      <c r="G86">
        <v>302</v>
      </c>
      <c r="H86" t="s">
        <v>11</v>
      </c>
      <c r="I86" t="s">
        <v>307</v>
      </c>
    </row>
    <row r="87" spans="1:9" x14ac:dyDescent="0.25">
      <c r="A87" t="s">
        <v>327</v>
      </c>
      <c r="B87" s="2">
        <v>46228</v>
      </c>
      <c r="C87" t="s">
        <v>44</v>
      </c>
      <c r="D87">
        <f>IF($C87="","",VLOOKUP($C87,物料档案表!$A:$D,2,FALSE))</f>
      </c>
      <c r="E87">
        <f>IF($C87="","",VLOOKUP($C87,物料档案表!$A:$D,3,FALSE))</f>
      </c>
      <c r="F87">
        <f>IF($C87="","",VLOOKUP($C87,物料档案表!$A:$D,4,FALSE))</f>
      </c>
      <c r="G87">
        <v>127</v>
      </c>
      <c r="H87" t="s">
        <v>11</v>
      </c>
      <c r="I87" t="s">
        <v>241</v>
      </c>
    </row>
    <row r="88" spans="1:9" x14ac:dyDescent="0.25">
      <c r="A88" t="s">
        <v>328</v>
      </c>
      <c r="B88" s="2">
        <v>46230</v>
      </c>
      <c r="C88" t="s">
        <v>167</v>
      </c>
      <c r="D88">
        <f>IF($C88="","",VLOOKUP($C88,物料档案表!$A:$D,2,FALSE))</f>
      </c>
      <c r="E88">
        <f>IF($C88="","",VLOOKUP($C88,物料档案表!$A:$D,3,FALSE))</f>
      </c>
      <c r="F88">
        <f>IF($C88="","",VLOOKUP($C88,物料档案表!$A:$D,4,FALSE))</f>
      </c>
      <c r="G88">
        <v>1002</v>
      </c>
      <c r="H88" t="s">
        <v>11</v>
      </c>
      <c r="I88" t="s">
        <v>307</v>
      </c>
    </row>
    <row r="89" spans="1:9" x14ac:dyDescent="0.25">
      <c r="A89" t="s">
        <v>329</v>
      </c>
      <c r="B89" s="2">
        <v>46228</v>
      </c>
      <c r="C89" t="s">
        <v>51</v>
      </c>
      <c r="D89">
        <f>IF($C89="","",VLOOKUP($C89,物料档案表!$A:$D,2,FALSE))</f>
      </c>
      <c r="E89">
        <f>IF($C89="","",VLOOKUP($C89,物料档案表!$A:$D,3,FALSE))</f>
      </c>
      <c r="F89">
        <f>IF($C89="","",VLOOKUP($C89,物料档案表!$A:$D,4,FALSE))</f>
      </c>
      <c r="G89">
        <v>8000</v>
      </c>
      <c r="H89" t="s">
        <v>11</v>
      </c>
      <c r="I89" t="s">
        <v>272</v>
      </c>
    </row>
    <row r="90" spans="1:9" x14ac:dyDescent="0.25">
      <c r="A90" t="s">
        <v>330</v>
      </c>
      <c r="B90" s="2">
        <v>46228</v>
      </c>
      <c r="C90" t="s">
        <v>55</v>
      </c>
      <c r="D90">
        <f>IF($C90="","",VLOOKUP($C90,物料档案表!$A:$D,2,FALSE))</f>
      </c>
      <c r="E90">
        <f>IF($C90="","",VLOOKUP($C90,物料档案表!$A:$D,3,FALSE))</f>
      </c>
      <c r="F90">
        <f>IF($C90="","",VLOOKUP($C90,物料档案表!$A:$D,4,FALSE))</f>
      </c>
      <c r="G90">
        <v>16000</v>
      </c>
      <c r="H90" t="s">
        <v>11</v>
      </c>
      <c r="I90" t="s">
        <v>272</v>
      </c>
    </row>
    <row r="91" spans="1:9" x14ac:dyDescent="0.25">
      <c r="A91" t="s">
        <v>331</v>
      </c>
      <c r="B91" s="2">
        <v>46228</v>
      </c>
      <c r="C91" t="s">
        <v>40</v>
      </c>
      <c r="D91">
        <f>IF($C91="","",VLOOKUP($C91,物料档案表!$A:$D,2,FALSE))</f>
      </c>
      <c r="E91">
        <f>IF($C91="","",VLOOKUP($C91,物料档案表!$A:$D,3,FALSE))</f>
      </c>
      <c r="F91">
        <f>IF($C91="","",VLOOKUP($C91,物料档案表!$A:$D,4,FALSE))</f>
      </c>
      <c r="G91">
        <v>3000</v>
      </c>
      <c r="H91" t="s">
        <v>11</v>
      </c>
      <c r="I91" t="s">
        <v>241</v>
      </c>
    </row>
    <row r="92" spans="1:9" x14ac:dyDescent="0.25">
      <c r="A92" t="s">
        <v>332</v>
      </c>
      <c r="B92" s="2">
        <v>46228</v>
      </c>
      <c r="C92" t="s">
        <v>36</v>
      </c>
      <c r="D92">
        <f>IF($C92="","",VLOOKUP($C92,物料档案表!$A:$D,2,FALSE))</f>
      </c>
      <c r="E92">
        <f>IF($C92="","",VLOOKUP($C92,物料档案表!$A:$D,3,FALSE))</f>
      </c>
      <c r="F92">
        <f>IF($C92="","",VLOOKUP($C92,物料档案表!$A:$D,4,FALSE))</f>
      </c>
      <c r="G92">
        <v>5000</v>
      </c>
      <c r="H92" t="s">
        <v>11</v>
      </c>
      <c r="I92" t="s">
        <v>225</v>
      </c>
    </row>
    <row r="93" spans="1:9" x14ac:dyDescent="0.25">
      <c r="A93" t="s">
        <v>333</v>
      </c>
      <c r="B93" s="2">
        <v>20260729</v>
      </c>
      <c r="C93" t="s">
        <v>74</v>
      </c>
      <c r="D93">
        <f>IF($C93="","",VLOOKUP($C93,物料档案表!$A:$D,2,FALSE))</f>
      </c>
      <c r="E93">
        <f>IF($C93="","",VLOOKUP($C93,物料档案表!$A:$D,3,FALSE))</f>
      </c>
      <c r="F93">
        <f>IF($C93="","",VLOOKUP($C93,物料档案表!$A:$D,4,FALSE))</f>
      </c>
      <c r="G93">
        <v>20000</v>
      </c>
      <c r="H93" t="s">
        <v>11</v>
      </c>
      <c r="I93" t="s">
        <v>214</v>
      </c>
    </row>
    <row r="94" spans="1:9" x14ac:dyDescent="0.25">
      <c r="A94" t="s">
        <v>334</v>
      </c>
      <c r="B94" s="2">
        <v>46235</v>
      </c>
      <c r="C94" t="s">
        <v>114</v>
      </c>
      <c r="D94">
        <f>IF($C94="","",VLOOKUP($C94,物料档案表!$A:$D,2,FALSE))</f>
      </c>
      <c r="E94">
        <f>IF($C94="","",VLOOKUP($C94,物料档案表!$A:$D,3,FALSE))</f>
      </c>
      <c r="F94">
        <f>IF($C94="","",VLOOKUP($C94,物料档案表!$A:$D,4,FALSE))</f>
      </c>
      <c r="G94">
        <v>2000</v>
      </c>
      <c r="H94" t="s">
        <v>11</v>
      </c>
      <c r="I94" t="s">
        <v>270</v>
      </c>
    </row>
    <row r="95" spans="1:9" x14ac:dyDescent="0.25">
      <c r="A95" t="s">
        <v>335</v>
      </c>
      <c r="B95" s="2">
        <v>46234</v>
      </c>
      <c r="C95" t="s">
        <v>27</v>
      </c>
      <c r="D95">
        <f>IF($C95="","",VLOOKUP($C95,物料档案表!$A:$D,2,FALSE))</f>
      </c>
      <c r="E95">
        <f>IF($C95="","",VLOOKUP($C95,物料档案表!$A:$D,3,FALSE))</f>
      </c>
      <c r="F95">
        <f>IF($C95="","",VLOOKUP($C95,物料档案表!$A:$D,4,FALSE))</f>
      </c>
      <c r="G95">
        <v>5000</v>
      </c>
      <c r="H95" t="s">
        <v>11</v>
      </c>
      <c r="I95" t="s">
        <v>221</v>
      </c>
    </row>
    <row r="96" spans="1:9" x14ac:dyDescent="0.25">
      <c r="A96" t="s">
        <v>336</v>
      </c>
      <c r="B96" s="2">
        <v>46234</v>
      </c>
      <c r="C96" t="s">
        <v>27</v>
      </c>
      <c r="D96">
        <f>IF($C96="","",VLOOKUP($C96,物料档案表!$A:$D,2,FALSE))</f>
      </c>
      <c r="E96">
        <f>IF($C96="","",VLOOKUP($C96,物料档案表!$A:$D,3,FALSE))</f>
      </c>
      <c r="F96">
        <f>IF($C96="","",VLOOKUP($C96,物料档案表!$A:$D,4,FALSE))</f>
      </c>
      <c r="G96">
        <v>5000</v>
      </c>
      <c r="H96" t="s">
        <v>11</v>
      </c>
      <c r="I96" t="s">
        <v>337</v>
      </c>
    </row>
    <row r="97" spans="1:9" x14ac:dyDescent="0.25">
      <c r="A97" t="s">
        <v>338</v>
      </c>
      <c r="B97" s="2">
        <v>46239</v>
      </c>
      <c r="C97" t="s">
        <v>68</v>
      </c>
      <c r="D97">
        <f>IF($C97="","",VLOOKUP($C97,物料档案表!$A:$D,2,FALSE))</f>
      </c>
      <c r="E97">
        <f>IF($C97="","",VLOOKUP($C97,物料档案表!$A:$D,3,FALSE))</f>
      </c>
      <c r="F97">
        <f>IF($C97="","",VLOOKUP($C97,物料档案表!$A:$D,4,FALSE))</f>
      </c>
      <c r="G97">
        <v>5000</v>
      </c>
      <c r="H97" t="s">
        <v>11</v>
      </c>
      <c r="I97" t="s">
        <v>261</v>
      </c>
    </row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  <row r="301" spans="3:3" x14ac:dyDescent="0.25"/>
    <row r="302" spans="3:3" x14ac:dyDescent="0.25"/>
    <row r="303" spans="3:3" x14ac:dyDescent="0.25"/>
    <row r="304" spans="3:3" x14ac:dyDescent="0.25"/>
    <row r="305" spans="3:3" x14ac:dyDescent="0.25"/>
    <row r="306" spans="3:3" x14ac:dyDescent="0.25"/>
    <row r="307" spans="3:3" x14ac:dyDescent="0.25"/>
    <row r="308" spans="3:3" x14ac:dyDescent="0.25"/>
    <row r="309" spans="3:3" x14ac:dyDescent="0.25"/>
    <row r="310" spans="3:3" x14ac:dyDescent="0.25"/>
    <row r="311" spans="3:3" x14ac:dyDescent="0.25"/>
    <row r="312" spans="3:3" x14ac:dyDescent="0.25"/>
    <row r="313" spans="3:3" x14ac:dyDescent="0.25"/>
    <row r="314" spans="3:3" x14ac:dyDescent="0.25"/>
    <row r="315" spans="3:3" x14ac:dyDescent="0.25"/>
    <row r="316" spans="3:3" x14ac:dyDescent="0.25"/>
    <row r="317" spans="3:3" x14ac:dyDescent="0.25"/>
    <row r="318" spans="3:3" x14ac:dyDescent="0.25"/>
    <row r="319" spans="3:3" x14ac:dyDescent="0.25"/>
    <row r="320" spans="3:3" x14ac:dyDescent="0.25"/>
    <row r="321" spans="3:3" x14ac:dyDescent="0.25"/>
    <row r="322" spans="3:3" x14ac:dyDescent="0.25"/>
    <row r="323" spans="3:3" x14ac:dyDescent="0.25"/>
    <row r="324" spans="3:3" x14ac:dyDescent="0.25"/>
    <row r="325" spans="3:3" x14ac:dyDescent="0.25"/>
    <row r="326" spans="3:3" x14ac:dyDescent="0.25"/>
    <row r="327" spans="3:3" x14ac:dyDescent="0.25"/>
    <row r="328" spans="3:3" x14ac:dyDescent="0.25"/>
    <row r="329" spans="3:3" x14ac:dyDescent="0.25"/>
    <row r="330" spans="3:3" x14ac:dyDescent="0.25"/>
    <row r="331" spans="3:3" x14ac:dyDescent="0.25"/>
    <row r="332" spans="3:3" x14ac:dyDescent="0.25"/>
    <row r="333" spans="3:3" x14ac:dyDescent="0.25"/>
    <row r="334" spans="3:3" x14ac:dyDescent="0.25"/>
    <row r="335" spans="3:3" x14ac:dyDescent="0.25"/>
    <row r="336" spans="3:3" x14ac:dyDescent="0.25"/>
    <row r="337" spans="3:3" x14ac:dyDescent="0.25"/>
    <row r="338" spans="3:3" x14ac:dyDescent="0.25"/>
    <row r="339" spans="3:3" x14ac:dyDescent="0.25"/>
    <row r="340" spans="3:3" x14ac:dyDescent="0.25"/>
    <row r="341" spans="3:3" x14ac:dyDescent="0.25"/>
    <row r="342" spans="3:3" x14ac:dyDescent="0.25"/>
    <row r="343" spans="3:3" x14ac:dyDescent="0.25"/>
    <row r="344" spans="3:3" x14ac:dyDescent="0.25"/>
    <row r="345" spans="3:3" x14ac:dyDescent="0.25"/>
    <row r="346" spans="3:3" x14ac:dyDescent="0.25"/>
    <row r="347" spans="3:3" x14ac:dyDescent="0.25"/>
    <row r="348" spans="3:3" x14ac:dyDescent="0.25"/>
    <row r="349" spans="3:3" x14ac:dyDescent="0.25"/>
    <row r="350" spans="3:3" x14ac:dyDescent="0.25"/>
    <row r="351" spans="3:3" x14ac:dyDescent="0.25"/>
    <row r="352" spans="3:3" x14ac:dyDescent="0.25"/>
    <row r="353" spans="3:3" x14ac:dyDescent="0.25"/>
    <row r="354" spans="3:3" x14ac:dyDescent="0.25"/>
    <row r="355" spans="3:3" x14ac:dyDescent="0.25"/>
    <row r="356" spans="3:3" x14ac:dyDescent="0.25"/>
    <row r="357" spans="3:3" x14ac:dyDescent="0.25"/>
    <row r="358" spans="3:3" x14ac:dyDescent="0.25"/>
    <row r="359" spans="3:3" x14ac:dyDescent="0.25"/>
    <row r="360" spans="3:3" x14ac:dyDescent="0.25"/>
    <row r="361" spans="3:3" x14ac:dyDescent="0.25"/>
    <row r="362" spans="3:3" x14ac:dyDescent="0.25"/>
    <row r="363" spans="3:3" x14ac:dyDescent="0.25"/>
    <row r="364" spans="3:3" x14ac:dyDescent="0.25"/>
    <row r="365" spans="3:3" x14ac:dyDescent="0.25"/>
    <row r="366" spans="3:3" x14ac:dyDescent="0.25"/>
    <row r="367" spans="3:3" x14ac:dyDescent="0.25"/>
    <row r="368" spans="3:3" x14ac:dyDescent="0.25"/>
    <row r="369" spans="3:3" x14ac:dyDescent="0.25"/>
    <row r="370" spans="3:3" x14ac:dyDescent="0.25"/>
    <row r="371" spans="3:3" x14ac:dyDescent="0.25"/>
    <row r="372" spans="3:3" x14ac:dyDescent="0.25"/>
    <row r="373" spans="3:3" x14ac:dyDescent="0.25"/>
    <row r="374" spans="3:3" x14ac:dyDescent="0.25"/>
    <row r="375" spans="3:3" x14ac:dyDescent="0.25"/>
    <row r="376" spans="3:3" x14ac:dyDescent="0.25"/>
    <row r="377" spans="3:3" x14ac:dyDescent="0.25"/>
    <row r="378" spans="3:3" x14ac:dyDescent="0.25"/>
    <row r="379" spans="3:3" x14ac:dyDescent="0.25"/>
    <row r="380" spans="3:3" x14ac:dyDescent="0.25"/>
    <row r="381" spans="3:3" x14ac:dyDescent="0.25"/>
    <row r="382" spans="3:3" x14ac:dyDescent="0.25"/>
    <row r="383" spans="3:3" x14ac:dyDescent="0.25"/>
    <row r="384" spans="3:3" x14ac:dyDescent="0.25"/>
    <row r="385" spans="3:3" x14ac:dyDescent="0.25"/>
    <row r="386" spans="3:3" x14ac:dyDescent="0.25"/>
    <row r="387" spans="3:3" x14ac:dyDescent="0.25"/>
    <row r="388" spans="3:3" x14ac:dyDescent="0.25"/>
    <row r="389" spans="3:3" x14ac:dyDescent="0.25"/>
    <row r="390" spans="3:3" x14ac:dyDescent="0.25"/>
    <row r="391" spans="3:3" x14ac:dyDescent="0.25"/>
    <row r="392" spans="3:3" x14ac:dyDescent="0.25"/>
    <row r="393" spans="3:3" x14ac:dyDescent="0.25"/>
    <row r="394" spans="3:3" x14ac:dyDescent="0.25"/>
    <row r="395" spans="3:3" x14ac:dyDescent="0.25"/>
    <row r="396" spans="3:3" x14ac:dyDescent="0.25"/>
    <row r="397" spans="3:3" x14ac:dyDescent="0.25"/>
    <row r="398" spans="3:3" x14ac:dyDescent="0.25"/>
    <row r="399" spans="3:3" x14ac:dyDescent="0.25"/>
    <row r="400" spans="3:3" x14ac:dyDescent="0.25"/>
    <row r="401" spans="3:3" x14ac:dyDescent="0.25"/>
    <row r="402" spans="3:3" x14ac:dyDescent="0.25"/>
    <row r="403" spans="3:3" x14ac:dyDescent="0.25"/>
    <row r="404" spans="3:3" x14ac:dyDescent="0.25"/>
    <row r="405" spans="3:3" x14ac:dyDescent="0.25"/>
    <row r="406" spans="3:3" x14ac:dyDescent="0.25"/>
    <row r="407" spans="3:3" x14ac:dyDescent="0.25"/>
    <row r="408" spans="3:3" x14ac:dyDescent="0.25"/>
    <row r="409" spans="3:3" x14ac:dyDescent="0.25"/>
    <row r="410" spans="3:3" x14ac:dyDescent="0.25"/>
    <row r="411" spans="3:3" x14ac:dyDescent="0.25"/>
    <row r="412" spans="3:3" x14ac:dyDescent="0.25"/>
    <row r="413" spans="3:3" x14ac:dyDescent="0.25"/>
    <row r="414" spans="3:3" x14ac:dyDescent="0.25"/>
    <row r="415" spans="3:3" x14ac:dyDescent="0.25"/>
    <row r="416" spans="3:3" x14ac:dyDescent="0.25"/>
    <row r="417" spans="3:3" x14ac:dyDescent="0.25"/>
    <row r="418" spans="3:3" x14ac:dyDescent="0.25"/>
    <row r="419" spans="3:3" x14ac:dyDescent="0.25"/>
    <row r="420" spans="3:3" x14ac:dyDescent="0.25"/>
    <row r="421" spans="3:3" x14ac:dyDescent="0.25"/>
    <row r="422" spans="3:3" x14ac:dyDescent="0.25"/>
    <row r="423" spans="3:3" x14ac:dyDescent="0.25"/>
    <row r="424" spans="3:3" x14ac:dyDescent="0.25"/>
    <row r="425" spans="3:3" x14ac:dyDescent="0.25"/>
    <row r="426" spans="3:3" x14ac:dyDescent="0.25"/>
    <row r="427" spans="3:3" x14ac:dyDescent="0.25"/>
    <row r="428" spans="3:3" x14ac:dyDescent="0.25"/>
    <row r="429" spans="3:3" x14ac:dyDescent="0.25"/>
    <row r="430" spans="3:3" x14ac:dyDescent="0.25"/>
    <row r="431" spans="3:3" x14ac:dyDescent="0.25"/>
    <row r="432" spans="3:3" x14ac:dyDescent="0.25"/>
    <row r="433" spans="3:3" x14ac:dyDescent="0.25"/>
    <row r="434" spans="3:3" x14ac:dyDescent="0.25"/>
    <row r="435" spans="3:3" x14ac:dyDescent="0.25"/>
    <row r="436" spans="3:3" x14ac:dyDescent="0.25"/>
    <row r="437" spans="3:3" x14ac:dyDescent="0.25"/>
    <row r="438" spans="3:3" x14ac:dyDescent="0.25"/>
    <row r="439" spans="3:3" x14ac:dyDescent="0.25"/>
    <row r="440" spans="3:3" x14ac:dyDescent="0.25"/>
    <row r="441" spans="3:3" x14ac:dyDescent="0.25"/>
    <row r="442" spans="3:3" x14ac:dyDescent="0.25"/>
    <row r="443" spans="3:3" x14ac:dyDescent="0.25"/>
    <row r="444" spans="3:3" x14ac:dyDescent="0.25"/>
    <row r="445" spans="3:3" x14ac:dyDescent="0.25"/>
    <row r="446" spans="3:3" x14ac:dyDescent="0.25"/>
    <row r="447" spans="3:3" x14ac:dyDescent="0.25"/>
    <row r="448" spans="3:3" x14ac:dyDescent="0.25"/>
    <row r="449" spans="3:3" x14ac:dyDescent="0.25"/>
    <row r="450" spans="3:3" x14ac:dyDescent="0.25"/>
    <row r="451" spans="3:3" x14ac:dyDescent="0.25"/>
    <row r="452" spans="3:3" x14ac:dyDescent="0.25"/>
    <row r="453" spans="3:3" x14ac:dyDescent="0.25"/>
    <row r="454" spans="3:3" x14ac:dyDescent="0.25"/>
    <row r="455" spans="3:3" x14ac:dyDescent="0.25"/>
    <row r="456" spans="3:3" x14ac:dyDescent="0.25"/>
    <row r="457" spans="3:3" x14ac:dyDescent="0.25"/>
    <row r="458" spans="3:3" x14ac:dyDescent="0.25"/>
    <row r="459" spans="3:3" x14ac:dyDescent="0.25"/>
    <row r="460" spans="3:3" x14ac:dyDescent="0.25"/>
    <row r="461" spans="3:3" x14ac:dyDescent="0.25"/>
    <row r="462" spans="3:3" x14ac:dyDescent="0.25"/>
    <row r="463" spans="3:3" x14ac:dyDescent="0.25"/>
    <row r="464" spans="3:3" x14ac:dyDescent="0.25"/>
    <row r="465" spans="3:3" x14ac:dyDescent="0.25"/>
    <row r="466" spans="3:3" x14ac:dyDescent="0.25"/>
    <row r="467" spans="3:3" x14ac:dyDescent="0.25"/>
    <row r="468" spans="3:3" x14ac:dyDescent="0.25"/>
    <row r="469" spans="3:3" x14ac:dyDescent="0.25"/>
    <row r="470" spans="3:3" x14ac:dyDescent="0.25"/>
    <row r="471" spans="3:3" x14ac:dyDescent="0.25"/>
    <row r="472" spans="3:3" x14ac:dyDescent="0.25"/>
    <row r="473" spans="3:3" x14ac:dyDescent="0.25"/>
    <row r="474" spans="3:3" x14ac:dyDescent="0.25"/>
    <row r="475" spans="3:3" x14ac:dyDescent="0.25"/>
    <row r="476" spans="3:3" x14ac:dyDescent="0.25"/>
    <row r="477" spans="3:3" x14ac:dyDescent="0.25"/>
    <row r="478" spans="3:3" x14ac:dyDescent="0.25"/>
    <row r="479" spans="3:3" x14ac:dyDescent="0.25"/>
    <row r="480" spans="3:3" x14ac:dyDescent="0.25"/>
    <row r="481" spans="3:3" x14ac:dyDescent="0.25"/>
    <row r="482" spans="3:3" x14ac:dyDescent="0.25"/>
    <row r="483" spans="3:3" x14ac:dyDescent="0.25"/>
    <row r="484" spans="3:3" x14ac:dyDescent="0.25"/>
    <row r="485" spans="3:3" x14ac:dyDescent="0.25"/>
    <row r="486" spans="3:3" x14ac:dyDescent="0.25"/>
    <row r="487" spans="3:3" x14ac:dyDescent="0.25"/>
    <row r="488" spans="3:3" x14ac:dyDescent="0.25"/>
    <row r="489" spans="3:3" x14ac:dyDescent="0.25"/>
    <row r="490" spans="3:3" x14ac:dyDescent="0.25"/>
    <row r="491" spans="3:3" x14ac:dyDescent="0.25"/>
    <row r="492" spans="3:3" x14ac:dyDescent="0.25"/>
    <row r="493" spans="3:3" x14ac:dyDescent="0.25"/>
    <row r="494" spans="3:3" x14ac:dyDescent="0.25"/>
    <row r="495" spans="3:3" x14ac:dyDescent="0.25"/>
    <row r="496" spans="3:3" x14ac:dyDescent="0.25"/>
    <row r="497" spans="3:3" x14ac:dyDescent="0.25"/>
    <row r="498" spans="3:3" x14ac:dyDescent="0.25"/>
    <row r="499" spans="3:3" x14ac:dyDescent="0.25"/>
    <row r="500" spans="3:3" x14ac:dyDescent="0.25"/>
  </sheetData>
  <autoFilter ref="A1:I97"/>
  <dataValidations count="2">
    <dataValidation type="list" allowBlank="1" showErrorMessage="1" errorTitle="无效编码" error="请选择物料档案表中的编码" sqref="C10:C500">
      <formula1>物料档案表!$A$2:$A$500</formula1>
    </dataValidation>
    <dataValidation type="list" allowBlank="1" showErrorMessage="1" errorTitle="无效编码" error="请选择物料档案表中的编码" sqref="C2:C500">
      <formula1>物料档案表!$A$2:$A$500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style="2" customWidth="1"/>
    <col min="3" max="3" width="16" customWidth="1"/>
    <col min="4" max="5" width="10" customWidth="1"/>
    <col min="6" max="6" width="12" customWidth="1"/>
    <col min="7" max="7" width="14" customWidth="1"/>
    <col min="8" max="8" width="22" customWidth="1"/>
    <col min="9" max="9" width="8" customWidth="1"/>
    <col min="10" max="10" width="11" customWidth="1"/>
    <col min="11" max="11" width="16" customWidth="1"/>
    <col min="12" max="12" width="12" customWidth="1"/>
    <col min="13" max="13" width="20" customWidth="1"/>
  </cols>
  <sheetData>
    <row r="1" ht="22" customHeight="1" spans="1:13" s="1" customFormat="1" x14ac:dyDescent="0.25">
      <c r="A1" s="1" t="s">
        <v>339</v>
      </c>
      <c r="B1" s="3" t="s">
        <v>340</v>
      </c>
      <c r="C1" s="1" t="s">
        <v>341</v>
      </c>
      <c r="D1" s="1" t="s">
        <v>175</v>
      </c>
      <c r="E1" s="1" t="s">
        <v>342</v>
      </c>
      <c r="F1" s="1" t="s">
        <v>0</v>
      </c>
      <c r="G1" s="1" t="s">
        <v>1</v>
      </c>
      <c r="H1" s="1" t="s">
        <v>203</v>
      </c>
      <c r="I1" s="1" t="s">
        <v>3</v>
      </c>
      <c r="J1" s="1" t="s">
        <v>343</v>
      </c>
      <c r="K1" s="1" t="s">
        <v>344</v>
      </c>
      <c r="L1" s="1" t="s">
        <v>345</v>
      </c>
      <c r="M1" s="1" t="s">
        <v>346</v>
      </c>
    </row>
    <row r="2" spans="1:13" x14ac:dyDescent="0.25">
      <c r="A2" t="s">
        <v>11</v>
      </c>
      <c r="B2" s="2" t="s">
        <v>11</v>
      </c>
      <c r="C2" t="s">
        <v>11</v>
      </c>
      <c r="D2" t="s">
        <v>11</v>
      </c>
      <c r="E2" t="s">
        <v>11</v>
      </c>
      <c r="F2">
        <f>IF($D$2="","",IFERROR(IF(INDEX('BOM配方表'!$B$2:$B$200,MATCH($D$2,'BOM配方表'!$B$2:$B$200,0)+0)=$D$2,INDEX('BOM配方表'!$C$2:$C$200,MATCH($D$2,'BOM配方表'!$B$2:$B$200,0)+0),""),""))</f>
      </c>
      <c r="G2">
        <f>IF($F2="","",IFERROR(VLOOKUP($F2,物料档案表!$A:$D,2,FALSE),""))</f>
      </c>
      <c r="H2">
        <f>IF($F2="","",IFERROR(VLOOKUP($F2,物料档案表!$A:$D,3,FALSE),""))</f>
      </c>
      <c r="I2">
        <f>IF($F2="","",IFERROR(VLOOKUP($F2,物料档案表!$A:$D,4,FALSE),""))</f>
      </c>
      <c r="J2">
        <f>IF($F2="","",IFERROR(INDEX('BOM配方表'!$E$2:$E$200,MATCH($D$2,'BOM配方表'!$B$2:$B$200,0)+0)*$E$2,""))</f>
      </c>
      <c r="K2" t="s">
        <v>11</v>
      </c>
      <c r="L2" t="s">
        <v>11</v>
      </c>
      <c r="M2" t="s">
        <v>11</v>
      </c>
    </row>
    <row r="3" spans="1:13" x14ac:dyDescent="0.25">
      <c r="A3" t="s">
        <v>11</v>
      </c>
      <c r="B3" s="2" t="s">
        <v>11</v>
      </c>
      <c r="C3" t="s">
        <v>11</v>
      </c>
      <c r="D3" t="s">
        <v>11</v>
      </c>
      <c r="E3" t="s">
        <v>11</v>
      </c>
      <c r="F3">
        <f>IF($D$2="","",IFERROR(IF(INDEX('BOM配方表'!$B$2:$B$200,MATCH($D$2,'BOM配方表'!$B$2:$B$200,0)+1)=$D$2,INDEX('BOM配方表'!$C$2:$C$200,MATCH($D$2,'BOM配方表'!$B$2:$B$200,0)+1),""),""))</f>
      </c>
      <c r="G3">
        <f>IF($F3="","",IFERROR(VLOOKUP($F3,物料档案表!$A:$D,2,FALSE),""))</f>
      </c>
      <c r="H3">
        <f>IF($F3="","",IFERROR(VLOOKUP($F3,物料档案表!$A:$D,3,FALSE),""))</f>
      </c>
      <c r="I3">
        <f>IF($F3="","",IFERROR(VLOOKUP($F3,物料档案表!$A:$D,4,FALSE),""))</f>
      </c>
      <c r="J3">
        <f>IF($F3="","",IFERROR(INDEX('BOM配方表'!$E$2:$E$200,MATCH($D$2,'BOM配方表'!$B$2:$B$200,0)+1)*$E$2,""))</f>
      </c>
      <c r="K3" t="s">
        <v>11</v>
      </c>
      <c r="L3" t="s">
        <v>11</v>
      </c>
      <c r="M3" t="s">
        <v>11</v>
      </c>
    </row>
    <row r="4" spans="1:13" x14ac:dyDescent="0.25">
      <c r="A4" t="s">
        <v>11</v>
      </c>
      <c r="B4" s="2" t="s">
        <v>11</v>
      </c>
      <c r="C4" t="s">
        <v>11</v>
      </c>
      <c r="D4" t="s">
        <v>11</v>
      </c>
      <c r="E4" t="s">
        <v>11</v>
      </c>
      <c r="F4">
        <f>IF($D$2="","",IFERROR(IF(INDEX('BOM配方表'!$B$2:$B$200,MATCH($D$2,'BOM配方表'!$B$2:$B$200,0)+2)=$D$2,INDEX('BOM配方表'!$C$2:$C$200,MATCH($D$2,'BOM配方表'!$B$2:$B$200,0)+2),""),""))</f>
      </c>
      <c r="G4">
        <f>IF($F4="","",IFERROR(VLOOKUP($F4,物料档案表!$A:$D,2,FALSE),""))</f>
      </c>
      <c r="H4">
        <f>IF($F4="","",IFERROR(VLOOKUP($F4,物料档案表!$A:$D,3,FALSE),""))</f>
      </c>
      <c r="I4">
        <f>IF($F4="","",IFERROR(VLOOKUP($F4,物料档案表!$A:$D,4,FALSE),""))</f>
      </c>
      <c r="J4">
        <f>IF($F4="","",IFERROR(INDEX('BOM配方表'!$E$2:$E$200,MATCH($D$2,'BOM配方表'!$B$2:$B$200,0)+2)*$E$2,""))</f>
      </c>
      <c r="K4" t="s">
        <v>11</v>
      </c>
      <c r="L4" t="s">
        <v>11</v>
      </c>
      <c r="M4" t="s">
        <v>11</v>
      </c>
    </row>
    <row r="5" spans="1:13" x14ac:dyDescent="0.25">
      <c r="A5" t="s">
        <v>11</v>
      </c>
      <c r="B5" s="2" t="s">
        <v>11</v>
      </c>
      <c r="C5" t="s">
        <v>11</v>
      </c>
      <c r="D5" t="s">
        <v>11</v>
      </c>
      <c r="E5" t="s">
        <v>11</v>
      </c>
      <c r="F5">
        <f>IF($D$2="","",IFERROR(IF(INDEX('BOM配方表'!$B$2:$B$200,MATCH($D$2,'BOM配方表'!$B$2:$B$200,0)+3)=$D$2,INDEX('BOM配方表'!$C$2:$C$200,MATCH($D$2,'BOM配方表'!$B$2:$B$200,0)+3),""),""))</f>
      </c>
      <c r="G5">
        <f>IF($F5="","",IFERROR(VLOOKUP($F5,物料档案表!$A:$D,2,FALSE),""))</f>
      </c>
      <c r="H5">
        <f>IF($F5="","",IFERROR(VLOOKUP($F5,物料档案表!$A:$D,3,FALSE),""))</f>
      </c>
      <c r="I5">
        <f>IF($F5="","",IFERROR(VLOOKUP($F5,物料档案表!$A:$D,4,FALSE),""))</f>
      </c>
      <c r="J5">
        <f>IF($F5="","",IFERROR(INDEX('BOM配方表'!$E$2:$E$200,MATCH($D$2,'BOM配方表'!$B$2:$B$200,0)+3)*$E$2,""))</f>
      </c>
      <c r="K5" t="s">
        <v>11</v>
      </c>
      <c r="L5" t="s">
        <v>11</v>
      </c>
      <c r="M5" t="s">
        <v>11</v>
      </c>
    </row>
    <row r="6" spans="1:13" x14ac:dyDescent="0.25">
      <c r="A6" t="s">
        <v>11</v>
      </c>
      <c r="B6" s="2" t="s">
        <v>11</v>
      </c>
      <c r="C6" t="s">
        <v>11</v>
      </c>
      <c r="D6" t="s">
        <v>11</v>
      </c>
      <c r="E6" t="s">
        <v>11</v>
      </c>
      <c r="F6">
        <f>IF($D$2="","",IFERROR(IF(INDEX('BOM配方表'!$B$2:$B$200,MATCH($D$2,'BOM配方表'!$B$2:$B$200,0)+4)=$D$2,INDEX('BOM配方表'!$C$2:$C$200,MATCH($D$2,'BOM配方表'!$B$2:$B$200,0)+4),""),""))</f>
      </c>
      <c r="G6">
        <f>IF($F6="","",IFERROR(VLOOKUP($F6,物料档案表!$A:$D,2,FALSE),""))</f>
      </c>
      <c r="H6">
        <f>IF($F6="","",IFERROR(VLOOKUP($F6,物料档案表!$A:$D,3,FALSE),""))</f>
      </c>
      <c r="I6">
        <f>IF($F6="","",IFERROR(VLOOKUP($F6,物料档案表!$A:$D,4,FALSE),""))</f>
      </c>
      <c r="J6">
        <f>IF($F6="","",IFERROR(INDEX('BOM配方表'!$E$2:$E$200,MATCH($D$2,'BOM配方表'!$B$2:$B$200,0)+4)*$E$2,""))</f>
      </c>
      <c r="K6" t="s">
        <v>11</v>
      </c>
      <c r="L6" t="s">
        <v>11</v>
      </c>
      <c r="M6" t="s">
        <v>11</v>
      </c>
    </row>
    <row r="7" spans="1:13" x14ac:dyDescent="0.25">
      <c r="A7" t="s">
        <v>11</v>
      </c>
      <c r="B7" s="2" t="s">
        <v>11</v>
      </c>
      <c r="C7" t="s">
        <v>11</v>
      </c>
      <c r="D7" t="s">
        <v>11</v>
      </c>
      <c r="E7" t="s">
        <v>11</v>
      </c>
      <c r="F7">
        <f>IF($D$2="","",IFERROR(IF(INDEX('BOM配方表'!$B$2:$B$200,MATCH($D$2,'BOM配方表'!$B$2:$B$200,0)+5)=$D$2,INDEX('BOM配方表'!$C$2:$C$200,MATCH($D$2,'BOM配方表'!$B$2:$B$200,0)+5),""),""))</f>
      </c>
      <c r="G7">
        <f>IF($F7="","",IFERROR(VLOOKUP($F7,物料档案表!$A:$D,2,FALSE),""))</f>
      </c>
      <c r="H7">
        <f>IF($F7="","",IFERROR(VLOOKUP($F7,物料档案表!$A:$D,3,FALSE),""))</f>
      </c>
      <c r="I7">
        <f>IF($F7="","",IFERROR(VLOOKUP($F7,物料档案表!$A:$D,4,FALSE),""))</f>
      </c>
      <c r="J7">
        <f>IF($F7="","",IFERROR(INDEX('BOM配方表'!$E$2:$E$200,MATCH($D$2,'BOM配方表'!$B$2:$B$200,0)+5)*$E$2,""))</f>
      </c>
      <c r="K7" t="s">
        <v>11</v>
      </c>
      <c r="L7" t="s">
        <v>11</v>
      </c>
      <c r="M7" t="s">
        <v>11</v>
      </c>
    </row>
    <row r="8" spans="1:13" x14ac:dyDescent="0.25">
      <c r="A8" t="s">
        <v>11</v>
      </c>
      <c r="B8" s="2" t="s">
        <v>11</v>
      </c>
      <c r="C8" t="s">
        <v>11</v>
      </c>
      <c r="D8" t="s">
        <v>11</v>
      </c>
      <c r="E8" t="s">
        <v>11</v>
      </c>
      <c r="F8">
        <f>IF($D$2="","",IFERROR(IF(INDEX('BOM配方表'!$B$2:$B$200,MATCH($D$2,'BOM配方表'!$B$2:$B$200,0)+6)=$D$2,INDEX('BOM配方表'!$C$2:$C$200,MATCH($D$2,'BOM配方表'!$B$2:$B$200,0)+6),""),""))</f>
      </c>
      <c r="G8">
        <f>IF($F8="","",IFERROR(VLOOKUP($F8,物料档案表!$A:$D,2,FALSE),""))</f>
      </c>
      <c r="H8">
        <f>IF($F8="","",IFERROR(VLOOKUP($F8,物料档案表!$A:$D,3,FALSE),""))</f>
      </c>
      <c r="I8">
        <f>IF($F8="","",IFERROR(VLOOKUP($F8,物料档案表!$A:$D,4,FALSE),""))</f>
      </c>
      <c r="J8">
        <f>IF($F8="","",IFERROR(INDEX('BOM配方表'!$E$2:$E$200,MATCH($D$2,'BOM配方表'!$B$2:$B$200,0)+6)*$E$2,""))</f>
      </c>
      <c r="K8" t="s">
        <v>11</v>
      </c>
      <c r="L8" t="s">
        <v>11</v>
      </c>
      <c r="M8" t="s">
        <v>11</v>
      </c>
    </row>
    <row r="9" spans="1:13" x14ac:dyDescent="0.25">
      <c r="A9" t="s">
        <v>11</v>
      </c>
      <c r="B9" s="2" t="s">
        <v>11</v>
      </c>
      <c r="C9" t="s">
        <v>11</v>
      </c>
      <c r="D9" t="s">
        <v>11</v>
      </c>
      <c r="E9" t="s">
        <v>11</v>
      </c>
      <c r="F9">
        <f>IF($D$2="","",IFERROR(IF(INDEX('BOM配方表'!$B$2:$B$200,MATCH($D$2,'BOM配方表'!$B$2:$B$200,0)+7)=$D$2,INDEX('BOM配方表'!$C$2:$C$200,MATCH($D$2,'BOM配方表'!$B$2:$B$200,0)+7),""),""))</f>
      </c>
      <c r="G9">
        <f>IF($F9="","",IFERROR(VLOOKUP($F9,物料档案表!$A:$D,2,FALSE),""))</f>
      </c>
      <c r="H9">
        <f>IF($F9="","",IFERROR(VLOOKUP($F9,物料档案表!$A:$D,3,FALSE),""))</f>
      </c>
      <c r="I9">
        <f>IF($F9="","",IFERROR(VLOOKUP($F9,物料档案表!$A:$D,4,FALSE),""))</f>
      </c>
      <c r="J9">
        <f>IF($F9="","",IFERROR(INDEX('BOM配方表'!$E$2:$E$200,MATCH($D$2,'BOM配方表'!$B$2:$B$200,0)+7)*$E$2,""))</f>
      </c>
      <c r="K9" t="s">
        <v>11</v>
      </c>
      <c r="L9" t="s">
        <v>11</v>
      </c>
      <c r="M9" t="s">
        <v>11</v>
      </c>
    </row>
    <row r="10" spans="1:13" x14ac:dyDescent="0.25">
      <c r="A10" t="s">
        <v>11</v>
      </c>
      <c r="B10" s="2" t="s">
        <v>11</v>
      </c>
      <c r="C10" t="s">
        <v>11</v>
      </c>
      <c r="D10" t="s">
        <v>11</v>
      </c>
      <c r="E10" t="s">
        <v>11</v>
      </c>
      <c r="F10">
        <f>IF($D$2="","",IFERROR(IF(INDEX('BOM配方表'!$B$2:$B$200,MATCH($D$2,'BOM配方表'!$B$2:$B$200,0)+8)=$D$2,INDEX('BOM配方表'!$C$2:$C$200,MATCH($D$2,'BOM配方表'!$B$2:$B$200,0)+8),""),""))</f>
      </c>
      <c r="G10">
        <f>IF($F10="","",IFERROR(VLOOKUP($F10,物料档案表!$A:$D,2,FALSE),""))</f>
      </c>
      <c r="H10">
        <f>IF($F10="","",IFERROR(VLOOKUP($F10,物料档案表!$A:$D,3,FALSE),""))</f>
      </c>
      <c r="I10">
        <f>IF($F10="","",IFERROR(VLOOKUP($F10,物料档案表!$A:$D,4,FALSE),""))</f>
      </c>
      <c r="J10">
        <f>IF($F10="","",IFERROR(INDEX('BOM配方表'!$E$2:$E$200,MATCH($D$2,'BOM配方表'!$B$2:$B$200,0)+8)*$E$2,""))</f>
      </c>
      <c r="K10" t="s">
        <v>11</v>
      </c>
      <c r="L10" t="s">
        <v>11</v>
      </c>
      <c r="M10" t="s">
        <v>11</v>
      </c>
    </row>
    <row r="11" spans="1:13" x14ac:dyDescent="0.25">
      <c r="A11" t="s">
        <v>11</v>
      </c>
      <c r="B11" s="2" t="s">
        <v>11</v>
      </c>
      <c r="C11" t="s">
        <v>11</v>
      </c>
      <c r="D11" t="s">
        <v>11</v>
      </c>
      <c r="E11" t="s">
        <v>11</v>
      </c>
      <c r="F11">
        <f>IF($D$2="","",IFERROR(IF(INDEX('BOM配方表'!$B$2:$B$200,MATCH($D$2,'BOM配方表'!$B$2:$B$200,0)+9)=$D$2,INDEX('BOM配方表'!$C$2:$C$200,MATCH($D$2,'BOM配方表'!$B$2:$B$200,0)+9),""),""))</f>
      </c>
      <c r="G11">
        <f>IF($F11="","",IFERROR(VLOOKUP($F11,物料档案表!$A:$D,2,FALSE),""))</f>
      </c>
      <c r="H11">
        <f>IF($F11="","",IFERROR(VLOOKUP($F11,物料档案表!$A:$D,3,FALSE),""))</f>
      </c>
      <c r="I11">
        <f>IF($F11="","",IFERROR(VLOOKUP($F11,物料档案表!$A:$D,4,FALSE),""))</f>
      </c>
      <c r="J11">
        <f>IF($F11="","",IFERROR(INDEX('BOM配方表'!$E$2:$E$200,MATCH($D$2,'BOM配方表'!$B$2:$B$200,0)+9)*$E$2,""))</f>
      </c>
      <c r="K11" t="s">
        <v>11</v>
      </c>
      <c r="L11" t="s">
        <v>11</v>
      </c>
      <c r="M11" t="s">
        <v>11</v>
      </c>
    </row>
    <row r="12" spans="3:11" x14ac:dyDescent="0.25"/>
    <row r="13" spans="3:11" x14ac:dyDescent="0.25"/>
    <row r="14" spans="3:11" x14ac:dyDescent="0.25"/>
    <row r="15" spans="3:11" x14ac:dyDescent="0.25"/>
    <row r="16" spans="3:11" x14ac:dyDescent="0.25"/>
    <row r="17" spans="3:11" x14ac:dyDescent="0.25"/>
    <row r="18" spans="3:11" x14ac:dyDescent="0.25"/>
    <row r="19" spans="3:11" x14ac:dyDescent="0.25"/>
    <row r="20" spans="3:11" x14ac:dyDescent="0.25"/>
    <row r="21" spans="3:11" x14ac:dyDescent="0.25"/>
    <row r="22" spans="3:11" x14ac:dyDescent="0.25"/>
    <row r="23" spans="3:11" x14ac:dyDescent="0.25"/>
    <row r="24" spans="3:11" x14ac:dyDescent="0.25"/>
    <row r="25" spans="3:11" x14ac:dyDescent="0.25"/>
    <row r="26" spans="3:11" x14ac:dyDescent="0.25"/>
    <row r="27" spans="3:11" x14ac:dyDescent="0.25"/>
    <row r="28" spans="3:11" x14ac:dyDescent="0.25"/>
    <row r="29" spans="3:11" x14ac:dyDescent="0.25"/>
    <row r="30" spans="3:11" x14ac:dyDescent="0.25"/>
    <row r="31" spans="3:11" x14ac:dyDescent="0.25"/>
    <row r="32" spans="3:11" x14ac:dyDescent="0.25"/>
    <row r="33" spans="3:11" x14ac:dyDescent="0.25"/>
    <row r="34" spans="3:11" x14ac:dyDescent="0.25"/>
    <row r="35" spans="3:11" x14ac:dyDescent="0.25"/>
    <row r="36" spans="3:11" x14ac:dyDescent="0.25"/>
    <row r="37" spans="3:11" x14ac:dyDescent="0.25"/>
    <row r="38" spans="3:11" x14ac:dyDescent="0.25"/>
    <row r="39" spans="3:11" x14ac:dyDescent="0.25"/>
    <row r="40" spans="3:11" x14ac:dyDescent="0.25"/>
    <row r="41" spans="3:11" x14ac:dyDescent="0.25"/>
    <row r="42" spans="3:11" x14ac:dyDescent="0.25"/>
    <row r="43" spans="3:11" x14ac:dyDescent="0.25"/>
    <row r="44" spans="3:11" x14ac:dyDescent="0.25"/>
    <row r="45" spans="3:11" x14ac:dyDescent="0.25"/>
    <row r="46" spans="3:11" x14ac:dyDescent="0.25"/>
    <row r="47" spans="3:11" x14ac:dyDescent="0.25"/>
    <row r="48" spans="3:11" x14ac:dyDescent="0.25"/>
    <row r="49" spans="3:11" x14ac:dyDescent="0.25"/>
    <row r="50" spans="3:11" x14ac:dyDescent="0.25"/>
    <row r="51" spans="3:11" x14ac:dyDescent="0.25"/>
    <row r="52" spans="3:11" x14ac:dyDescent="0.25"/>
    <row r="53" spans="3:11" x14ac:dyDescent="0.25"/>
    <row r="54" spans="3:11" x14ac:dyDescent="0.25"/>
    <row r="55" spans="3:11" x14ac:dyDescent="0.25"/>
    <row r="56" spans="3:11" x14ac:dyDescent="0.25"/>
    <row r="57" spans="3:11" x14ac:dyDescent="0.25"/>
    <row r="58" spans="3:11" x14ac:dyDescent="0.25"/>
    <row r="59" spans="3:11" x14ac:dyDescent="0.25"/>
    <row r="60" spans="3:11" x14ac:dyDescent="0.25"/>
    <row r="61" spans="3:11" x14ac:dyDescent="0.25"/>
    <row r="62" spans="3:11" x14ac:dyDescent="0.25"/>
    <row r="63" spans="3:11" x14ac:dyDescent="0.25"/>
    <row r="64" spans="3:11" x14ac:dyDescent="0.25"/>
    <row r="65" spans="3:11" x14ac:dyDescent="0.25"/>
    <row r="66" spans="3:11" x14ac:dyDescent="0.25"/>
    <row r="67" spans="3:11" x14ac:dyDescent="0.25"/>
    <row r="68" spans="3:11" x14ac:dyDescent="0.25"/>
    <row r="69" spans="3:11" x14ac:dyDescent="0.25"/>
    <row r="70" spans="3:11" x14ac:dyDescent="0.25"/>
    <row r="71" spans="3:11" x14ac:dyDescent="0.25"/>
    <row r="72" spans="3:11" x14ac:dyDescent="0.25"/>
    <row r="73" spans="3:11" x14ac:dyDescent="0.25"/>
    <row r="74" spans="3:11" x14ac:dyDescent="0.25"/>
    <row r="75" spans="3:11" x14ac:dyDescent="0.25"/>
    <row r="76" spans="3:11" x14ac:dyDescent="0.25"/>
    <row r="77" spans="3:11" x14ac:dyDescent="0.25"/>
    <row r="78" spans="3:11" x14ac:dyDescent="0.25"/>
    <row r="79" spans="3:11" x14ac:dyDescent="0.25"/>
    <row r="80" spans="3:11" x14ac:dyDescent="0.25"/>
    <row r="81" spans="3:11" x14ac:dyDescent="0.25"/>
    <row r="82" spans="3:11" x14ac:dyDescent="0.25"/>
    <row r="83" spans="3:11" x14ac:dyDescent="0.25"/>
    <row r="84" spans="3:11" x14ac:dyDescent="0.25"/>
    <row r="85" spans="3:11" x14ac:dyDescent="0.25"/>
    <row r="86" spans="3:11" x14ac:dyDescent="0.25"/>
    <row r="87" spans="3:11" x14ac:dyDescent="0.25"/>
    <row r="88" spans="3:11" x14ac:dyDescent="0.25"/>
    <row r="89" spans="3:11" x14ac:dyDescent="0.25"/>
    <row r="90" spans="3:11" x14ac:dyDescent="0.25"/>
    <row r="91" spans="3:11" x14ac:dyDescent="0.25"/>
    <row r="92" spans="3:11" x14ac:dyDescent="0.25"/>
    <row r="93" spans="3:11" x14ac:dyDescent="0.25"/>
    <row r="94" spans="3:11" x14ac:dyDescent="0.25"/>
    <row r="95" spans="3:11" x14ac:dyDescent="0.25"/>
    <row r="96" spans="3:11" x14ac:dyDescent="0.25"/>
    <row r="97" spans="3:11" x14ac:dyDescent="0.25"/>
    <row r="98" spans="3:11" x14ac:dyDescent="0.25"/>
    <row r="99" spans="3:11" x14ac:dyDescent="0.25"/>
    <row r="100" spans="3:11" x14ac:dyDescent="0.25"/>
    <row r="101" spans="3:11" x14ac:dyDescent="0.25"/>
    <row r="102" spans="1:11" x14ac:dyDescent="0.25">
      <c r="A102" s="4" t="s">
        <v>347</v>
      </c>
    </row>
    <row r="103" spans="3:11" x14ac:dyDescent="0.25"/>
    <row r="104" spans="3:11" x14ac:dyDescent="0.25"/>
    <row r="105" spans="3:11" x14ac:dyDescent="0.25"/>
    <row r="106" spans="3:11" x14ac:dyDescent="0.25"/>
    <row r="107" spans="3:11" x14ac:dyDescent="0.25"/>
    <row r="108" spans="3:11" x14ac:dyDescent="0.25"/>
    <row r="109" spans="3:11" x14ac:dyDescent="0.25"/>
    <row r="110" spans="3:11" x14ac:dyDescent="0.25"/>
    <row r="111" spans="3:11" x14ac:dyDescent="0.25"/>
    <row r="112" spans="3:11" x14ac:dyDescent="0.25"/>
    <row r="113" spans="3:11" x14ac:dyDescent="0.25"/>
    <row r="114" spans="3:11" x14ac:dyDescent="0.25"/>
    <row r="115" spans="3:11" x14ac:dyDescent="0.25"/>
    <row r="116" spans="3:11" x14ac:dyDescent="0.25"/>
    <row r="117" spans="3:11" x14ac:dyDescent="0.25"/>
    <row r="118" spans="3:11" x14ac:dyDescent="0.25"/>
    <row r="119" spans="3:11" x14ac:dyDescent="0.25"/>
    <row r="120" spans="3:11" x14ac:dyDescent="0.25"/>
    <row r="121" spans="3:11" x14ac:dyDescent="0.25"/>
    <row r="122" spans="3:11" x14ac:dyDescent="0.25"/>
    <row r="123" spans="3:11" x14ac:dyDescent="0.25"/>
    <row r="124" spans="3:11" x14ac:dyDescent="0.25"/>
    <row r="125" spans="3:11" x14ac:dyDescent="0.25"/>
    <row r="126" spans="3:11" x14ac:dyDescent="0.25"/>
    <row r="127" spans="3:11" x14ac:dyDescent="0.25"/>
    <row r="128" spans="3:11" x14ac:dyDescent="0.25"/>
    <row r="129" spans="3:11" x14ac:dyDescent="0.25"/>
    <row r="130" spans="3:11" x14ac:dyDescent="0.25"/>
    <row r="131" spans="3:11" x14ac:dyDescent="0.25"/>
    <row r="132" spans="3:11" x14ac:dyDescent="0.25"/>
    <row r="133" spans="3:11" x14ac:dyDescent="0.25"/>
    <row r="134" spans="3:11" x14ac:dyDescent="0.25"/>
    <row r="135" spans="3:11" x14ac:dyDescent="0.25"/>
    <row r="136" spans="3:11" x14ac:dyDescent="0.25"/>
    <row r="137" spans="3:11" x14ac:dyDescent="0.25"/>
    <row r="138" spans="3:11" x14ac:dyDescent="0.25"/>
    <row r="139" spans="3:11" x14ac:dyDescent="0.25"/>
    <row r="140" spans="3:11" x14ac:dyDescent="0.25"/>
    <row r="141" spans="3:11" x14ac:dyDescent="0.25"/>
    <row r="142" spans="3:11" x14ac:dyDescent="0.25"/>
    <row r="143" spans="3:11" x14ac:dyDescent="0.25"/>
    <row r="144" spans="3:11" x14ac:dyDescent="0.25"/>
    <row r="145" spans="3:11" x14ac:dyDescent="0.25"/>
    <row r="146" spans="3:11" x14ac:dyDescent="0.25"/>
    <row r="147" spans="3:11" x14ac:dyDescent="0.25"/>
    <row r="148" spans="3:11" x14ac:dyDescent="0.25"/>
    <row r="149" spans="3:11" x14ac:dyDescent="0.25"/>
    <row r="150" spans="3:11" x14ac:dyDescent="0.25"/>
    <row r="151" spans="3:11" x14ac:dyDescent="0.25"/>
    <row r="152" spans="3:11" x14ac:dyDescent="0.25"/>
    <row r="153" spans="3:11" x14ac:dyDescent="0.25"/>
    <row r="154" spans="3:11" x14ac:dyDescent="0.25"/>
    <row r="155" spans="3:11" x14ac:dyDescent="0.25"/>
    <row r="156" spans="3:11" x14ac:dyDescent="0.25"/>
    <row r="157" spans="3:11" x14ac:dyDescent="0.25"/>
    <row r="158" spans="3:11" x14ac:dyDescent="0.25"/>
    <row r="159" spans="3:11" x14ac:dyDescent="0.25"/>
    <row r="160" spans="3:11" x14ac:dyDescent="0.25"/>
    <row r="161" spans="3:11" x14ac:dyDescent="0.25"/>
    <row r="162" spans="3:11" x14ac:dyDescent="0.25"/>
    <row r="163" spans="3:11" x14ac:dyDescent="0.25"/>
    <row r="164" spans="3:11" x14ac:dyDescent="0.25"/>
    <row r="165" spans="3:11" x14ac:dyDescent="0.25"/>
    <row r="166" spans="3:11" x14ac:dyDescent="0.25"/>
    <row r="167" spans="3:11" x14ac:dyDescent="0.25"/>
    <row r="168" spans="3:11" x14ac:dyDescent="0.25"/>
    <row r="169" spans="3:11" x14ac:dyDescent="0.25"/>
    <row r="170" spans="3:11" x14ac:dyDescent="0.25"/>
    <row r="171" spans="3:11" x14ac:dyDescent="0.25"/>
    <row r="172" spans="3:11" x14ac:dyDescent="0.25"/>
    <row r="173" spans="3:11" x14ac:dyDescent="0.25"/>
    <row r="174" spans="3:11" x14ac:dyDescent="0.25"/>
    <row r="175" spans="3:11" x14ac:dyDescent="0.25"/>
    <row r="176" spans="3:11" x14ac:dyDescent="0.25"/>
    <row r="177" spans="3:11" x14ac:dyDescent="0.25"/>
    <row r="178" spans="3:11" x14ac:dyDescent="0.25"/>
    <row r="179" spans="3:11" x14ac:dyDescent="0.25"/>
    <row r="180" spans="3:11" x14ac:dyDescent="0.25"/>
    <row r="181" spans="3:11" x14ac:dyDescent="0.25"/>
    <row r="182" spans="3:11" x14ac:dyDescent="0.25"/>
    <row r="183" spans="3:11" x14ac:dyDescent="0.25"/>
    <row r="184" spans="3:11" x14ac:dyDescent="0.25"/>
    <row r="185" spans="3:11" x14ac:dyDescent="0.25"/>
    <row r="186" spans="3:11" x14ac:dyDescent="0.25"/>
    <row r="187" spans="3:11" x14ac:dyDescent="0.25"/>
    <row r="188" spans="3:11" x14ac:dyDescent="0.25"/>
    <row r="189" spans="3:11" x14ac:dyDescent="0.25"/>
    <row r="190" spans="3:11" x14ac:dyDescent="0.25"/>
    <row r="191" spans="3:11" x14ac:dyDescent="0.25"/>
    <row r="192" spans="3:11" x14ac:dyDescent="0.25"/>
    <row r="193" spans="3:11" x14ac:dyDescent="0.25"/>
    <row r="194" spans="3:11" x14ac:dyDescent="0.25"/>
    <row r="195" spans="3:11" x14ac:dyDescent="0.25"/>
    <row r="196" spans="3:11" x14ac:dyDescent="0.25"/>
    <row r="197" spans="3:11" x14ac:dyDescent="0.25"/>
    <row r="198" spans="3:11" x14ac:dyDescent="0.25"/>
    <row r="199" spans="3:11" x14ac:dyDescent="0.25"/>
    <row r="200" spans="3:11" x14ac:dyDescent="0.25"/>
  </sheetData>
  <autoFilter ref="A1:M100"/>
  <dataValidations count="6">
    <dataValidation type="list" allowBlank="1" showErrorMessage="1" errorTitle="无效类型" error="请选择领料类型" sqref="C10:C200">
      <formula1>"单独领料,成品批量生产领料"</formula1>
    </dataValidation>
    <dataValidation type="list" allowBlank="1" showErrorMessage="1" errorTitle="无效类型" error="请选择领料类型" sqref="C2:C200">
      <formula1>"单独领料,成品批量生产领料"</formula1>
    </dataValidation>
    <dataValidation type="list" allowBlank="1" showErrorMessage="1" errorTitle="无效编码" error="请选择物料档案表中的编码" sqref="F10:F200">
      <formula1>物料档案表!$A$2:$A$500</formula1>
    </dataValidation>
    <dataValidation type="list" allowBlank="1" showErrorMessage="1" errorTitle="无效编码" error="请选择物料档案表中的编码" sqref="F2:F200">
      <formula1>物料档案表!$A$2:$A$500</formula1>
    </dataValidation>
    <dataValidation type="list" allowBlank="1" showErrorMessage="1" errorTitle="无效方向" error="请选择出库方向" sqref="K10:K200">
      <formula1>"A 款生产,B 款生产,E 款生产,M 金属款生产,打包发货,样品外发,退换货"</formula1>
    </dataValidation>
    <dataValidation type="list" allowBlank="1" showErrorMessage="1" errorTitle="无效方向" error="请选择出库方向" sqref="K2:K200">
      <formula1>"A 款生产,B 款生产,E 款生产,M 金属款生产,打包发货,样品外发,退换货"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22" customWidth="1"/>
    <col min="4" max="4" width="8" customWidth="1"/>
    <col min="5" max="5" width="20" customWidth="1"/>
    <col min="6" max="6" width="12" customWidth="1"/>
    <col min="7" max="8" width="10" customWidth="1"/>
    <col min="9" max="10" width="12" customWidth="1"/>
    <col min="11" max="11" width="13" customWidth="1"/>
    <col min="12" max="12" width="10" customWidth="1"/>
    <col min="13" max="13" width="11" customWidth="1"/>
  </cols>
  <sheetData>
    <row r="1" ht="22" customHeight="1" spans="1:13" s="1" customFormat="1" x14ac:dyDescent="0.25">
      <c r="A1" s="1" t="s">
        <v>0</v>
      </c>
      <c r="B1" s="1" t="s">
        <v>1</v>
      </c>
      <c r="C1" s="1" t="s">
        <v>203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7</v>
      </c>
      <c r="M1" s="1" t="s">
        <v>352</v>
      </c>
    </row>
    <row r="2" spans="1:13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0</v>
      </c>
      <c r="I2">
        <f>SUMIFS(入库记录表!$G:$G,入库记录表!$C:$C,$A2)</f>
      </c>
      <c r="J2">
        <f>SUMIFS(出库领料记录表!$J:$J,出库领料记录表!$F:$F,$A2)</f>
      </c>
      <c r="K2">
        <f>H2+I2-J2</f>
      </c>
      <c r="L2">
        <v>10000</v>
      </c>
      <c r="M2">
        <f>IF(K2&lt;=L2,"库存不足","正常")</f>
      </c>
    </row>
    <row r="3" spans="1:13" x14ac:dyDescent="0.25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0</v>
      </c>
      <c r="I3">
        <f>SUMIFS(入库记录表!$G:$G,入库记录表!$C:$C,$A3)</f>
      </c>
      <c r="J3">
        <f>SUMIFS(出库领料记录表!$J:$J,出库领料记录表!$F:$F,$A3)</f>
      </c>
      <c r="K3">
        <f>H3+I3-J3</f>
      </c>
      <c r="L3">
        <v>10000</v>
      </c>
      <c r="M3">
        <f>IF(K3&lt;=L3,"库存不足","正常")</f>
      </c>
    </row>
    <row r="4" spans="1:13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14</v>
      </c>
      <c r="G4" t="s">
        <v>23</v>
      </c>
      <c r="H4">
        <v>0</v>
      </c>
      <c r="I4">
        <f>SUMIFS(入库记录表!$G:$G,入库记录表!$C:$C,$A4)</f>
      </c>
      <c r="J4">
        <f>SUMIFS(出库领料记录表!$J:$J,出库领料记录表!$F:$F,$A4)</f>
      </c>
      <c r="K4">
        <f>H4+I4-J4</f>
      </c>
      <c r="L4">
        <v>20000</v>
      </c>
      <c r="M4">
        <f>IF(K4&lt;=L4,"库存不足","正常")</f>
      </c>
    </row>
    <row r="5" spans="1:13" x14ac:dyDescent="0.25">
      <c r="A5" t="s">
        <v>25</v>
      </c>
      <c r="B5" t="s">
        <v>19</v>
      </c>
      <c r="C5" t="s">
        <v>26</v>
      </c>
      <c r="D5" t="s">
        <v>21</v>
      </c>
      <c r="E5" t="s">
        <v>22</v>
      </c>
      <c r="F5" t="s">
        <v>14</v>
      </c>
      <c r="G5" t="s">
        <v>23</v>
      </c>
      <c r="H5">
        <v>0</v>
      </c>
      <c r="I5">
        <f>SUMIFS(入库记录表!$G:$G,入库记录表!$C:$C,$A5)</f>
      </c>
      <c r="J5">
        <f>SUMIFS(出库领料记录表!$J:$J,出库领料记录表!$F:$F,$A5)</f>
      </c>
      <c r="K5">
        <f>H5+I5-J5</f>
      </c>
      <c r="L5">
        <v>10000</v>
      </c>
      <c r="M5">
        <f>IF(K5&lt;=L5,"库存不足","正常")</f>
      </c>
    </row>
    <row r="6" spans="1:13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23</v>
      </c>
      <c r="H6">
        <v>0</v>
      </c>
      <c r="I6">
        <f>SUMIFS(入库记录表!$G:$G,入库记录表!$C:$C,$A6)</f>
      </c>
      <c r="J6">
        <f>SUMIFS(出库领料记录表!$J:$J,出库领料记录表!$F:$F,$A6)</f>
      </c>
      <c r="K6">
        <f>H6+I6-J6</f>
      </c>
      <c r="L6">
        <v>2000</v>
      </c>
      <c r="M6">
        <f>IF(K6&lt;=L6,"库存不足","正常")</f>
      </c>
    </row>
    <row r="7" spans="1:13" x14ac:dyDescent="0.25">
      <c r="A7" t="s">
        <v>32</v>
      </c>
      <c r="B7" t="s">
        <v>33</v>
      </c>
      <c r="C7" t="s">
        <v>34</v>
      </c>
      <c r="D7" t="s">
        <v>30</v>
      </c>
      <c r="E7" t="s">
        <v>35</v>
      </c>
      <c r="F7" t="s">
        <v>14</v>
      </c>
      <c r="G7" t="s">
        <v>15</v>
      </c>
      <c r="H7">
        <v>0</v>
      </c>
      <c r="I7">
        <f>SUMIFS(入库记录表!$G:$G,入库记录表!$C:$C,$A7)</f>
      </c>
      <c r="J7">
        <f>SUMIFS(出库领料记录表!$J:$J,出库领料记录表!$F:$F,$A7)</f>
      </c>
      <c r="K7">
        <f>H7+I7-J7</f>
      </c>
      <c r="L7">
        <v>2000</v>
      </c>
      <c r="M7">
        <f>IF(K7&lt;=L7,"库存不足","正常")</f>
      </c>
    </row>
    <row r="8" spans="1:13" x14ac:dyDescent="0.25">
      <c r="A8" t="s">
        <v>36</v>
      </c>
      <c r="B8" t="s">
        <v>37</v>
      </c>
      <c r="C8" t="s">
        <v>38</v>
      </c>
      <c r="D8" t="s">
        <v>30</v>
      </c>
      <c r="E8" t="s">
        <v>39</v>
      </c>
      <c r="F8" t="s">
        <v>14</v>
      </c>
      <c r="G8" t="s">
        <v>15</v>
      </c>
      <c r="H8">
        <v>0</v>
      </c>
      <c r="I8">
        <f>SUMIFS(入库记录表!$G:$G,入库记录表!$C:$C,$A8)</f>
      </c>
      <c r="J8">
        <f>SUMIFS(出库领料记录表!$J:$J,出库领料记录表!$F:$F,$A8)</f>
      </c>
      <c r="K8">
        <f>H8+I8-J8</f>
      </c>
      <c r="L8">
        <v>1000</v>
      </c>
      <c r="M8">
        <f>IF(K8&lt;=L8,"库存不足","正常")</f>
      </c>
    </row>
    <row r="9" spans="1:13" x14ac:dyDescent="0.25">
      <c r="A9" t="s">
        <v>40</v>
      </c>
      <c r="B9" t="s">
        <v>41</v>
      </c>
      <c r="C9" t="s">
        <v>42</v>
      </c>
      <c r="D9" t="s">
        <v>30</v>
      </c>
      <c r="E9" t="s">
        <v>43</v>
      </c>
      <c r="F9" t="s">
        <v>14</v>
      </c>
      <c r="G9" t="s">
        <v>15</v>
      </c>
      <c r="H9">
        <v>0</v>
      </c>
      <c r="I9">
        <f>SUMIFS(入库记录表!$G:$G,入库记录表!$C:$C,$A9)</f>
      </c>
      <c r="J9">
        <f>SUMIFS(出库领料记录表!$J:$J,出库领料记录表!$F:$F,$A9)</f>
      </c>
      <c r="K9">
        <f>H9+I9-J9</f>
      </c>
      <c r="L9">
        <v>500</v>
      </c>
      <c r="M9">
        <f>IF(K9&lt;=L9,"库存不足","正常")</f>
      </c>
    </row>
    <row r="10" spans="1:13" x14ac:dyDescent="0.25">
      <c r="A10" t="s">
        <v>44</v>
      </c>
      <c r="B10" t="s">
        <v>45</v>
      </c>
      <c r="C10" t="s">
        <v>46</v>
      </c>
      <c r="D10" t="s">
        <v>30</v>
      </c>
      <c r="E10" t="s">
        <v>43</v>
      </c>
      <c r="F10" t="s">
        <v>14</v>
      </c>
      <c r="G10" t="s">
        <v>15</v>
      </c>
      <c r="H10">
        <v>0</v>
      </c>
      <c r="I10">
        <f>SUMIFS(入库记录表!$G:$G,入库记录表!$C:$C,$A10)</f>
      </c>
      <c r="J10">
        <f>SUMIFS(出库领料记录表!$J:$J,出库领料记录表!$F:$F,$A10)</f>
      </c>
      <c r="K10">
        <f>H10+I10-J10</f>
      </c>
      <c r="L10">
        <v>500</v>
      </c>
      <c r="M10">
        <f>IF(K10&lt;=L10,"库存不足","正常")</f>
      </c>
    </row>
    <row r="11" spans="1:13" x14ac:dyDescent="0.25">
      <c r="A11" t="s">
        <v>47</v>
      </c>
      <c r="B11" t="s">
        <v>48</v>
      </c>
      <c r="C11" t="s">
        <v>49</v>
      </c>
      <c r="D11" t="s">
        <v>30</v>
      </c>
      <c r="E11" t="s">
        <v>50</v>
      </c>
      <c r="F11" t="s">
        <v>14</v>
      </c>
      <c r="G11" t="s">
        <v>15</v>
      </c>
      <c r="H11">
        <v>0</v>
      </c>
      <c r="I11">
        <f>SUMIFS(入库记录表!$G:$G,入库记录表!$C:$C,$A11)</f>
      </c>
      <c r="J11">
        <f>SUMIFS(出库领料记录表!$J:$J,出库领料记录表!$F:$F,$A11)</f>
      </c>
      <c r="K11">
        <f>H11+I11-J11</f>
      </c>
      <c r="L11">
        <v>500</v>
      </c>
      <c r="M11">
        <f>IF(K11&lt;=L11,"库存不足","正常")</f>
      </c>
    </row>
    <row r="12" spans="1:13" x14ac:dyDescent="0.25">
      <c r="A12" t="s">
        <v>51</v>
      </c>
      <c r="B12" t="s">
        <v>52</v>
      </c>
      <c r="C12" t="s">
        <v>53</v>
      </c>
      <c r="D12" t="s">
        <v>30</v>
      </c>
      <c r="E12" t="s">
        <v>54</v>
      </c>
      <c r="F12" t="s">
        <v>14</v>
      </c>
      <c r="G12" t="s">
        <v>15</v>
      </c>
      <c r="H12">
        <v>0</v>
      </c>
      <c r="I12">
        <f>SUMIFS(入库记录表!$G:$G,入库记录表!$C:$C,$A12)</f>
      </c>
      <c r="J12">
        <f>SUMIFS(出库领料记录表!$J:$J,出库领料记录表!$F:$F,$A12)</f>
      </c>
      <c r="K12">
        <f>H12+I12-J12</f>
      </c>
      <c r="L12">
        <v>1000</v>
      </c>
      <c r="M12">
        <f>IF(K12&lt;=L12,"库存不足","正常")</f>
      </c>
    </row>
    <row r="13" spans="1:13" x14ac:dyDescent="0.25">
      <c r="A13" t="s">
        <v>55</v>
      </c>
      <c r="B13" t="s">
        <v>52</v>
      </c>
      <c r="C13" t="s">
        <v>56</v>
      </c>
      <c r="D13" t="s">
        <v>30</v>
      </c>
      <c r="E13" t="s">
        <v>54</v>
      </c>
      <c r="F13" t="s">
        <v>14</v>
      </c>
      <c r="G13" t="s">
        <v>15</v>
      </c>
      <c r="H13">
        <v>0</v>
      </c>
      <c r="I13">
        <f>SUMIFS(入库记录表!$G:$G,入库记录表!$C:$C,$A13)</f>
      </c>
      <c r="J13">
        <f>SUMIFS(出库领料记录表!$J:$J,出库领料记录表!$F:$F,$A13)</f>
      </c>
      <c r="K13">
        <f>H13+I13-J13</f>
      </c>
      <c r="L13">
        <v>1000</v>
      </c>
      <c r="M13">
        <f>IF(K13&lt;=L13,"库存不足","正常")</f>
      </c>
    </row>
    <row r="14" spans="1:13" x14ac:dyDescent="0.25">
      <c r="A14" t="s">
        <v>57</v>
      </c>
      <c r="B14" t="s">
        <v>58</v>
      </c>
      <c r="C14" t="s">
        <v>11</v>
      </c>
      <c r="D14" t="s">
        <v>59</v>
      </c>
      <c r="E14" t="s">
        <v>60</v>
      </c>
      <c r="F14" t="s">
        <v>14</v>
      </c>
      <c r="G14" t="s">
        <v>15</v>
      </c>
      <c r="H14">
        <v>0</v>
      </c>
      <c r="I14">
        <f>SUMIFS(入库记录表!$G:$G,入库记录表!$C:$C,$A14)</f>
      </c>
      <c r="J14">
        <f>SUMIFS(出库领料记录表!$J:$J,出库领料记录表!$F:$F,$A14)</f>
      </c>
      <c r="K14">
        <f>H14+I14-J14</f>
      </c>
      <c r="L14">
        <v>1000</v>
      </c>
      <c r="M14">
        <f>IF(K14&lt;=L14,"库存不足","正常")</f>
      </c>
    </row>
    <row r="15" spans="1:13" x14ac:dyDescent="0.25">
      <c r="A15" t="s">
        <v>61</v>
      </c>
      <c r="B15" t="s">
        <v>62</v>
      </c>
      <c r="C15" t="s">
        <v>63</v>
      </c>
      <c r="D15" t="s">
        <v>30</v>
      </c>
      <c r="E15" t="s">
        <v>64</v>
      </c>
      <c r="F15" t="s">
        <v>14</v>
      </c>
      <c r="G15" t="s">
        <v>15</v>
      </c>
      <c r="H15">
        <v>0</v>
      </c>
      <c r="I15">
        <f>SUMIFS(入库记录表!$G:$G,入库记录表!$C:$C,$A15)</f>
      </c>
      <c r="J15">
        <f>SUMIFS(出库领料记录表!$J:$J,出库领料记录表!$F:$F,$A15)</f>
      </c>
      <c r="K15">
        <f>H15+I15-J15</f>
      </c>
      <c r="L15">
        <v>200</v>
      </c>
      <c r="M15">
        <f>IF(K15&lt;=L15,"库存不足","正常")</f>
      </c>
    </row>
    <row r="16" spans="1:13" x14ac:dyDescent="0.25">
      <c r="A16" t="s">
        <v>65</v>
      </c>
      <c r="B16" t="s">
        <v>66</v>
      </c>
      <c r="C16" t="s">
        <v>67</v>
      </c>
      <c r="D16" t="s">
        <v>11</v>
      </c>
      <c r="E16" t="s">
        <v>60</v>
      </c>
      <c r="F16" t="s">
        <v>14</v>
      </c>
      <c r="G16" t="s">
        <v>15</v>
      </c>
      <c r="H16">
        <v>0</v>
      </c>
      <c r="I16">
        <f>SUMIFS(入库记录表!$G:$G,入库记录表!$C:$C,$A16)</f>
      </c>
      <c r="J16">
        <f>SUMIFS(出库领料记录表!$J:$J,出库领料记录表!$F:$F,$A16)</f>
      </c>
      <c r="K16">
        <f>H16+I16-J16</f>
      </c>
      <c r="L16">
        <v>500</v>
      </c>
      <c r="M16">
        <f>IF(K16&lt;=L16,"库存不足","正常")</f>
      </c>
    </row>
    <row r="17" spans="1:13" x14ac:dyDescent="0.25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73</v>
      </c>
      <c r="G17" t="s">
        <v>23</v>
      </c>
      <c r="H17">
        <v>0</v>
      </c>
      <c r="I17">
        <f>SUMIFS(入库记录表!$G:$G,入库记录表!$C:$C,$A17)</f>
      </c>
      <c r="J17">
        <f>SUMIFS(出库领料记录表!$J:$J,出库领料记录表!$F:$F,$A17)</f>
      </c>
      <c r="K17">
        <f>H17+I17-J17</f>
      </c>
      <c r="L17">
        <v>10000</v>
      </c>
      <c r="M17">
        <f>IF(K17&lt;=L17,"库存不足","正常")</f>
      </c>
    </row>
    <row r="18" spans="1:13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F18" t="s">
        <v>73</v>
      </c>
      <c r="G18" t="s">
        <v>15</v>
      </c>
      <c r="H18">
        <v>0</v>
      </c>
      <c r="I18">
        <f>SUMIFS(入库记录表!$G:$G,入库记录表!$C:$C,$A18)</f>
      </c>
      <c r="J18">
        <f>SUMIFS(出库领料记录表!$J:$J,出库领料记录表!$F:$F,$A18)</f>
      </c>
      <c r="K18">
        <f>H18+I18-J18</f>
      </c>
      <c r="L18">
        <v>10000</v>
      </c>
      <c r="M18">
        <f>IF(K18&lt;=L18,"库存不足","正常")</f>
      </c>
    </row>
    <row r="19" spans="1:13" x14ac:dyDescent="0.25">
      <c r="A19" t="s">
        <v>79</v>
      </c>
      <c r="B19" t="s">
        <v>80</v>
      </c>
      <c r="C19" t="s">
        <v>13</v>
      </c>
      <c r="D19" t="s">
        <v>12</v>
      </c>
      <c r="E19" t="s">
        <v>13</v>
      </c>
      <c r="F19" t="s">
        <v>73</v>
      </c>
      <c r="G19" t="s">
        <v>15</v>
      </c>
      <c r="H19">
        <v>0</v>
      </c>
      <c r="I19">
        <f>SUMIFS(入库记录表!$G:$G,入库记录表!$C:$C,$A19)</f>
      </c>
      <c r="J19">
        <f>SUMIFS(出库领料记录表!$J:$J,出库领料记录表!$F:$F,$A19)</f>
      </c>
      <c r="K19">
        <f>H19+I19-J19</f>
      </c>
      <c r="L19">
        <v>5000</v>
      </c>
      <c r="M19">
        <f>IF(K19&lt;=L19,"库存不足","正常")</f>
      </c>
    </row>
    <row r="20" spans="1:13" x14ac:dyDescent="0.25">
      <c r="A20" t="s">
        <v>81</v>
      </c>
      <c r="B20" t="s">
        <v>82</v>
      </c>
      <c r="C20" t="s">
        <v>83</v>
      </c>
      <c r="D20" t="s">
        <v>12</v>
      </c>
      <c r="E20" t="s">
        <v>43</v>
      </c>
      <c r="F20" t="s">
        <v>73</v>
      </c>
      <c r="G20" t="s">
        <v>15</v>
      </c>
      <c r="H20">
        <v>0</v>
      </c>
      <c r="I20">
        <f>SUMIFS(入库记录表!$G:$G,入库记录表!$C:$C,$A20)</f>
      </c>
      <c r="J20">
        <f>SUMIFS(出库领料记录表!$J:$J,出库领料记录表!$F:$F,$A20)</f>
      </c>
      <c r="K20">
        <f>H20+I20-J20</f>
      </c>
      <c r="L20">
        <v>2000</v>
      </c>
      <c r="M20">
        <f>IF(K20&lt;=L20,"库存不足","正常")</f>
      </c>
    </row>
    <row r="21" spans="1:13" x14ac:dyDescent="0.25">
      <c r="A21" t="s">
        <v>84</v>
      </c>
      <c r="B21" t="s">
        <v>85</v>
      </c>
      <c r="C21" t="s">
        <v>86</v>
      </c>
      <c r="D21" t="s">
        <v>87</v>
      </c>
      <c r="E21" t="s">
        <v>50</v>
      </c>
      <c r="F21" t="s">
        <v>73</v>
      </c>
      <c r="G21" t="s">
        <v>15</v>
      </c>
      <c r="H21">
        <v>0</v>
      </c>
      <c r="I21">
        <f>SUMIFS(入库记录表!$G:$G,入库记录表!$C:$C,$A21)</f>
      </c>
      <c r="J21">
        <f>SUMIFS(出库领料记录表!$J:$J,出库领料记录表!$F:$F,$A21)</f>
      </c>
      <c r="K21">
        <f>H21+I21-J21</f>
      </c>
      <c r="L21">
        <v>1000</v>
      </c>
      <c r="M21">
        <f>IF(K21&lt;=L21,"库存不足","正常")</f>
      </c>
    </row>
    <row r="22" spans="1:13" x14ac:dyDescent="0.25">
      <c r="A22" t="s">
        <v>88</v>
      </c>
      <c r="B22" t="s">
        <v>89</v>
      </c>
      <c r="C22" t="s">
        <v>90</v>
      </c>
      <c r="D22" t="s">
        <v>87</v>
      </c>
      <c r="E22" t="s">
        <v>91</v>
      </c>
      <c r="F22" t="s">
        <v>73</v>
      </c>
      <c r="G22" t="s">
        <v>23</v>
      </c>
      <c r="H22">
        <v>0</v>
      </c>
      <c r="I22">
        <f>SUMIFS(入库记录表!$G:$G,入库记录表!$C:$C,$A22)</f>
      </c>
      <c r="J22">
        <f>SUMIFS(出库领料记录表!$J:$J,出库领料记录表!$F:$F,$A22)</f>
      </c>
      <c r="K22">
        <f>H22+I22-J22</f>
      </c>
      <c r="L22">
        <v>1000</v>
      </c>
      <c r="M22">
        <f>IF(K22&lt;=L22,"库存不足","正常")</f>
      </c>
    </row>
    <row r="23" spans="1:13" x14ac:dyDescent="0.25">
      <c r="A23" t="s">
        <v>92</v>
      </c>
      <c r="B23" t="s">
        <v>93</v>
      </c>
      <c r="C23" t="s">
        <v>94</v>
      </c>
      <c r="D23" t="s">
        <v>12</v>
      </c>
      <c r="E23" t="s">
        <v>39</v>
      </c>
      <c r="F23" t="s">
        <v>73</v>
      </c>
      <c r="G23" t="s">
        <v>15</v>
      </c>
      <c r="H23">
        <v>0</v>
      </c>
      <c r="I23">
        <f>SUMIFS(入库记录表!$G:$G,入库记录表!$C:$C,$A23)</f>
      </c>
      <c r="J23">
        <f>SUMIFS(出库领料记录表!$J:$J,出库领料记录表!$F:$F,$A23)</f>
      </c>
      <c r="K23">
        <f>H23+I23-J23</f>
      </c>
      <c r="L23">
        <v>2000</v>
      </c>
      <c r="M23">
        <f>IF(K23&lt;=L23,"库存不足","正常")</f>
      </c>
    </row>
    <row r="24" spans="1:13" x14ac:dyDescent="0.25">
      <c r="A24" t="s">
        <v>95</v>
      </c>
      <c r="B24" t="s">
        <v>96</v>
      </c>
      <c r="C24" t="s">
        <v>94</v>
      </c>
      <c r="D24" t="s">
        <v>12</v>
      </c>
      <c r="E24" t="s">
        <v>39</v>
      </c>
      <c r="F24" t="s">
        <v>73</v>
      </c>
      <c r="G24" t="s">
        <v>15</v>
      </c>
      <c r="H24">
        <v>0</v>
      </c>
      <c r="I24">
        <f>SUMIFS(入库记录表!$G:$G,入库记录表!$C:$C,$A24)</f>
      </c>
      <c r="J24">
        <f>SUMIFS(出库领料记录表!$J:$J,出库领料记录表!$F:$F,$A24)</f>
      </c>
      <c r="K24">
        <f>H24+I24-J24</f>
      </c>
      <c r="L24">
        <v>2000</v>
      </c>
      <c r="M24">
        <f>IF(K24&lt;=L24,"库存不足","正常")</f>
      </c>
    </row>
    <row r="25" spans="1:13" x14ac:dyDescent="0.25">
      <c r="A25" t="s">
        <v>97</v>
      </c>
      <c r="B25" t="s">
        <v>98</v>
      </c>
      <c r="C25" t="s">
        <v>99</v>
      </c>
      <c r="D25" t="s">
        <v>12</v>
      </c>
      <c r="E25" t="s">
        <v>91</v>
      </c>
      <c r="F25" t="s">
        <v>73</v>
      </c>
      <c r="G25" t="s">
        <v>23</v>
      </c>
      <c r="H25">
        <v>0</v>
      </c>
      <c r="I25">
        <f>SUMIFS(入库记录表!$G:$G,入库记录表!$C:$C,$A25)</f>
      </c>
      <c r="J25">
        <f>SUMIFS(出库领料记录表!$J:$J,出库领料记录表!$F:$F,$A25)</f>
      </c>
      <c r="K25">
        <f>H25+I25-J25</f>
      </c>
      <c r="L25">
        <v>500</v>
      </c>
      <c r="M25">
        <f>IF(K25&lt;=L25,"库存不足","正常")</f>
      </c>
    </row>
    <row r="26" spans="1:13" x14ac:dyDescent="0.25">
      <c r="A26" t="s">
        <v>100</v>
      </c>
      <c r="B26" t="s">
        <v>101</v>
      </c>
      <c r="C26" t="s">
        <v>102</v>
      </c>
      <c r="D26" t="s">
        <v>12</v>
      </c>
      <c r="E26" t="s">
        <v>103</v>
      </c>
      <c r="F26" t="s">
        <v>73</v>
      </c>
      <c r="G26" t="s">
        <v>15</v>
      </c>
      <c r="H26">
        <v>0</v>
      </c>
      <c r="I26">
        <f>SUMIFS(入库记录表!$G:$G,入库记录表!$C:$C,$A26)</f>
      </c>
      <c r="J26">
        <f>SUMIFS(出库领料记录表!$J:$J,出库领料记录表!$F:$F,$A26)</f>
      </c>
      <c r="K26">
        <f>H26+I26-J26</f>
      </c>
      <c r="L26">
        <v>1000</v>
      </c>
      <c r="M26">
        <f>IF(K26&lt;=L26,"库存不足","正常")</f>
      </c>
    </row>
    <row r="27" spans="1:13" x14ac:dyDescent="0.25">
      <c r="A27" t="s">
        <v>104</v>
      </c>
      <c r="B27" t="s">
        <v>105</v>
      </c>
      <c r="C27" t="s">
        <v>106</v>
      </c>
      <c r="D27" t="s">
        <v>12</v>
      </c>
      <c r="E27" t="s">
        <v>103</v>
      </c>
      <c r="F27" t="s">
        <v>73</v>
      </c>
      <c r="G27" t="s">
        <v>15</v>
      </c>
      <c r="H27">
        <v>0</v>
      </c>
      <c r="I27">
        <f>SUMIFS(入库记录表!$G:$G,入库记录表!$C:$C,$A27)</f>
      </c>
      <c r="J27">
        <f>SUMIFS(出库领料记录表!$J:$J,出库领料记录表!$F:$F,$A27)</f>
      </c>
      <c r="K27">
        <f>H27+I27-J27</f>
      </c>
      <c r="L27">
        <v>1000</v>
      </c>
      <c r="M27">
        <f>IF(K27&lt;=L27,"库存不足","正常")</f>
      </c>
    </row>
    <row r="28" spans="1:13" x14ac:dyDescent="0.25">
      <c r="A28" t="s">
        <v>107</v>
      </c>
      <c r="B28" t="s">
        <v>108</v>
      </c>
      <c r="C28" t="s">
        <v>11</v>
      </c>
      <c r="D28" t="s">
        <v>12</v>
      </c>
      <c r="E28" t="s">
        <v>43</v>
      </c>
      <c r="F28" t="s">
        <v>73</v>
      </c>
      <c r="G28" t="s">
        <v>15</v>
      </c>
      <c r="H28">
        <v>0</v>
      </c>
      <c r="I28">
        <f>SUMIFS(入库记录表!$G:$G,入库记录表!$C:$C,$A28)</f>
      </c>
      <c r="J28">
        <f>SUMIFS(出库领料记录表!$J:$J,出库领料记录表!$F:$F,$A28)</f>
      </c>
      <c r="K28">
        <f>H28+I28-J28</f>
      </c>
      <c r="L28">
        <v>500</v>
      </c>
      <c r="M28">
        <f>IF(K28&lt;=L28,"库存不足","正常")</f>
      </c>
    </row>
    <row r="29" spans="1:13" x14ac:dyDescent="0.25">
      <c r="A29" t="s">
        <v>109</v>
      </c>
      <c r="B29" t="s">
        <v>110</v>
      </c>
      <c r="C29" t="s">
        <v>11</v>
      </c>
      <c r="D29" t="s">
        <v>12</v>
      </c>
      <c r="E29" t="s">
        <v>43</v>
      </c>
      <c r="F29" t="s">
        <v>73</v>
      </c>
      <c r="G29" t="s">
        <v>15</v>
      </c>
      <c r="H29">
        <v>0</v>
      </c>
      <c r="I29">
        <f>SUMIFS(入库记录表!$G:$G,入库记录表!$C:$C,$A29)</f>
      </c>
      <c r="J29">
        <f>SUMIFS(出库领料记录表!$J:$J,出库领料记录表!$F:$F,$A29)</f>
      </c>
      <c r="K29">
        <f>H29+I29-J29</f>
      </c>
      <c r="L29">
        <v>500</v>
      </c>
      <c r="M29">
        <f>IF(K29&lt;=L29,"库存不足","正常")</f>
      </c>
    </row>
    <row r="30" spans="1:13" x14ac:dyDescent="0.25">
      <c r="A30" t="s">
        <v>111</v>
      </c>
      <c r="B30" t="s">
        <v>69</v>
      </c>
      <c r="C30" t="s">
        <v>112</v>
      </c>
      <c r="D30" t="s">
        <v>21</v>
      </c>
      <c r="E30" t="s">
        <v>113</v>
      </c>
      <c r="F30" t="s">
        <v>73</v>
      </c>
      <c r="G30" t="s">
        <v>15</v>
      </c>
      <c r="H30">
        <v>0</v>
      </c>
      <c r="I30">
        <f>SUMIFS(入库记录表!$G:$G,入库记录表!$C:$C,$A30)</f>
      </c>
      <c r="J30">
        <f>SUMIFS(出库领料记录表!$J:$J,出库领料记录表!$F:$F,$A30)</f>
      </c>
      <c r="K30">
        <f>H30+I30-J30</f>
      </c>
      <c r="L30">
        <v>1000</v>
      </c>
      <c r="M30">
        <f>IF(K30&lt;=L30,"库存不足","正常")</f>
      </c>
    </row>
    <row r="31" spans="1:13" x14ac:dyDescent="0.25">
      <c r="A31" t="s">
        <v>114</v>
      </c>
      <c r="B31" t="s">
        <v>69</v>
      </c>
      <c r="C31" t="s">
        <v>115</v>
      </c>
      <c r="D31" t="s">
        <v>71</v>
      </c>
      <c r="E31" t="s">
        <v>50</v>
      </c>
      <c r="F31" t="s">
        <v>73</v>
      </c>
      <c r="G31" t="s">
        <v>15</v>
      </c>
      <c r="H31">
        <v>0</v>
      </c>
      <c r="I31">
        <f>SUMIFS(入库记录表!$G:$G,入库记录表!$C:$C,$A31)</f>
      </c>
      <c r="J31">
        <f>SUMIFS(出库领料记录表!$J:$J,出库领料记录表!$F:$F,$A31)</f>
      </c>
      <c r="K31">
        <f>H31+I31-J31</f>
      </c>
      <c r="L31">
        <v>1000</v>
      </c>
      <c r="M31">
        <f>IF(K31&lt;=L31,"库存不足","正常")</f>
      </c>
    </row>
    <row r="32" spans="1:13" x14ac:dyDescent="0.25">
      <c r="A32" t="s">
        <v>116</v>
      </c>
      <c r="B32" t="s">
        <v>117</v>
      </c>
      <c r="C32" t="s">
        <v>118</v>
      </c>
      <c r="D32" t="s">
        <v>119</v>
      </c>
      <c r="E32" t="s">
        <v>120</v>
      </c>
      <c r="F32" t="s">
        <v>73</v>
      </c>
      <c r="G32" t="s">
        <v>15</v>
      </c>
      <c r="H32">
        <v>0</v>
      </c>
      <c r="I32">
        <f>SUMIFS(入库记录表!$G:$G,入库记录表!$C:$C,$A32)</f>
      </c>
      <c r="J32">
        <f>SUMIFS(出库领料记录表!$J:$J,出库领料记录表!$F:$F,$A32)</f>
      </c>
      <c r="K32">
        <f>H32+I32-J32</f>
      </c>
      <c r="L32">
        <v>100</v>
      </c>
      <c r="M32">
        <f>IF(K32&lt;=L32,"库存不足","正常")</f>
      </c>
    </row>
    <row r="33" spans="1:13" x14ac:dyDescent="0.25">
      <c r="A33" t="s">
        <v>121</v>
      </c>
      <c r="B33" t="s">
        <v>117</v>
      </c>
      <c r="C33" t="s">
        <v>122</v>
      </c>
      <c r="D33" t="s">
        <v>119</v>
      </c>
      <c r="E33" t="s">
        <v>120</v>
      </c>
      <c r="F33" t="s">
        <v>73</v>
      </c>
      <c r="G33" t="s">
        <v>15</v>
      </c>
      <c r="H33">
        <v>0</v>
      </c>
      <c r="I33">
        <f>SUMIFS(入库记录表!$G:$G,入库记录表!$C:$C,$A33)</f>
      </c>
      <c r="J33">
        <f>SUMIFS(出库领料记录表!$J:$J,出库领料记录表!$F:$F,$A33)</f>
      </c>
      <c r="K33">
        <f>H33+I33-J33</f>
      </c>
      <c r="L33">
        <v>100</v>
      </c>
      <c r="M33">
        <f>IF(K33&lt;=L33,"库存不足","正常")</f>
      </c>
    </row>
    <row r="34" spans="1:13" x14ac:dyDescent="0.25">
      <c r="A34" t="s">
        <v>123</v>
      </c>
      <c r="B34" t="s">
        <v>124</v>
      </c>
      <c r="C34" t="s">
        <v>125</v>
      </c>
      <c r="D34" t="s">
        <v>87</v>
      </c>
      <c r="E34" t="s">
        <v>113</v>
      </c>
      <c r="F34" t="s">
        <v>73</v>
      </c>
      <c r="G34" t="s">
        <v>15</v>
      </c>
      <c r="H34">
        <v>0</v>
      </c>
      <c r="I34">
        <f>SUMIFS(入库记录表!$G:$G,入库记录表!$C:$C,$A34)</f>
      </c>
      <c r="J34">
        <f>SUMIFS(出库领料记录表!$J:$J,出库领料记录表!$F:$F,$A34)</f>
      </c>
      <c r="K34">
        <f>H34+I34-J34</f>
      </c>
      <c r="L34">
        <v>500</v>
      </c>
      <c r="M34">
        <f>IF(K34&lt;=L34,"库存不足","正常")</f>
      </c>
    </row>
    <row r="35" spans="1:13" x14ac:dyDescent="0.25">
      <c r="A35" t="s">
        <v>126</v>
      </c>
      <c r="B35" t="s">
        <v>127</v>
      </c>
      <c r="C35" t="s">
        <v>128</v>
      </c>
      <c r="D35" t="s">
        <v>12</v>
      </c>
      <c r="E35" t="s">
        <v>103</v>
      </c>
      <c r="F35" t="s">
        <v>73</v>
      </c>
      <c r="G35" t="s">
        <v>15</v>
      </c>
      <c r="H35">
        <v>0</v>
      </c>
      <c r="I35">
        <f>SUMIFS(入库记录表!$G:$G,入库记录表!$C:$C,$A35)</f>
      </c>
      <c r="J35">
        <f>SUMIFS(出库领料记录表!$J:$J,出库领料记录表!$F:$F,$A35)</f>
      </c>
      <c r="K35">
        <f>H35+I35-J35</f>
      </c>
      <c r="L35">
        <v>500</v>
      </c>
      <c r="M35">
        <f>IF(K35&lt;=L35,"库存不足","正常")</f>
      </c>
    </row>
    <row r="36" spans="1:13" x14ac:dyDescent="0.25">
      <c r="A36" t="s">
        <v>129</v>
      </c>
      <c r="B36" t="s">
        <v>130</v>
      </c>
      <c r="C36" t="s">
        <v>11</v>
      </c>
      <c r="D36" t="s">
        <v>12</v>
      </c>
      <c r="E36" t="s">
        <v>39</v>
      </c>
      <c r="F36" t="s">
        <v>73</v>
      </c>
      <c r="G36" t="s">
        <v>15</v>
      </c>
      <c r="H36">
        <v>0</v>
      </c>
      <c r="I36">
        <f>SUMIFS(入库记录表!$G:$G,入库记录表!$C:$C,$A36)</f>
      </c>
      <c r="J36">
        <f>SUMIFS(出库领料记录表!$J:$J,出库领料记录表!$F:$F,$A36)</f>
      </c>
      <c r="K36">
        <f>H36+I36-J36</f>
      </c>
      <c r="L36">
        <v>2000</v>
      </c>
      <c r="M36">
        <f>IF(K36&lt;=L36,"库存不足","正常")</f>
      </c>
    </row>
    <row r="37" spans="1:13" x14ac:dyDescent="0.25">
      <c r="A37" t="s">
        <v>131</v>
      </c>
      <c r="B37" t="s">
        <v>132</v>
      </c>
      <c r="C37" t="s">
        <v>133</v>
      </c>
      <c r="D37" t="s">
        <v>12</v>
      </c>
      <c r="E37" t="s">
        <v>43</v>
      </c>
      <c r="F37" t="s">
        <v>73</v>
      </c>
      <c r="G37" t="s">
        <v>15</v>
      </c>
      <c r="H37">
        <v>0</v>
      </c>
      <c r="I37">
        <f>SUMIFS(入库记录表!$G:$G,入库记录表!$C:$C,$A37)</f>
      </c>
      <c r="J37">
        <f>SUMIFS(出库领料记录表!$J:$J,出库领料记录表!$F:$F,$A37)</f>
      </c>
      <c r="K37">
        <f>H37+I37-J37</f>
      </c>
      <c r="L37">
        <v>300</v>
      </c>
      <c r="M37">
        <f>IF(K37&lt;=L37,"库存不足","正常")</f>
      </c>
    </row>
    <row r="38" spans="1:13" x14ac:dyDescent="0.25">
      <c r="A38" t="s">
        <v>134</v>
      </c>
      <c r="B38" t="s">
        <v>135</v>
      </c>
      <c r="C38" t="s">
        <v>94</v>
      </c>
      <c r="D38" t="s">
        <v>12</v>
      </c>
      <c r="E38" t="s">
        <v>54</v>
      </c>
      <c r="F38" t="s">
        <v>73</v>
      </c>
      <c r="G38" t="s">
        <v>15</v>
      </c>
      <c r="H38">
        <v>0</v>
      </c>
      <c r="I38">
        <f>SUMIFS(入库记录表!$G:$G,入库记录表!$C:$C,$A38)</f>
      </c>
      <c r="J38">
        <f>SUMIFS(出库领料记录表!$J:$J,出库领料记录表!$F:$F,$A38)</f>
      </c>
      <c r="K38">
        <f>H38+I38-J38</f>
      </c>
      <c r="L38">
        <v>1000</v>
      </c>
      <c r="M38">
        <f>IF(K38&lt;=L38,"库存不足","正常")</f>
      </c>
    </row>
    <row r="39" spans="1:13" x14ac:dyDescent="0.25">
      <c r="A39" t="s">
        <v>136</v>
      </c>
      <c r="B39" t="s">
        <v>137</v>
      </c>
      <c r="C39" t="s">
        <v>94</v>
      </c>
      <c r="D39" t="s">
        <v>12</v>
      </c>
      <c r="E39" t="s">
        <v>39</v>
      </c>
      <c r="F39" t="s">
        <v>73</v>
      </c>
      <c r="G39" t="s">
        <v>15</v>
      </c>
      <c r="H39">
        <v>0</v>
      </c>
      <c r="I39">
        <f>SUMIFS(入库记录表!$G:$G,入库记录表!$C:$C,$A39)</f>
      </c>
      <c r="J39">
        <f>SUMIFS(出库领料记录表!$J:$J,出库领料记录表!$F:$F,$A39)</f>
      </c>
      <c r="K39">
        <f>H39+I39-J39</f>
      </c>
      <c r="L39">
        <v>2000</v>
      </c>
      <c r="M39">
        <f>IF(K39&lt;=L39,"库存不足","正常")</f>
      </c>
    </row>
    <row r="40" spans="1:13" x14ac:dyDescent="0.25">
      <c r="A40" t="s">
        <v>138</v>
      </c>
      <c r="B40" t="s">
        <v>117</v>
      </c>
      <c r="C40" t="s">
        <v>139</v>
      </c>
      <c r="D40" t="s">
        <v>119</v>
      </c>
      <c r="E40" t="s">
        <v>120</v>
      </c>
      <c r="F40" t="s">
        <v>73</v>
      </c>
      <c r="G40" t="s">
        <v>15</v>
      </c>
      <c r="H40">
        <v>0</v>
      </c>
      <c r="I40">
        <f>SUMIFS(入库记录表!$G:$G,入库记录表!$C:$C,$A40)</f>
      </c>
      <c r="J40">
        <f>SUMIFS(出库领料记录表!$J:$J,出库领料记录表!$F:$F,$A40)</f>
      </c>
      <c r="K40">
        <f>H40+I40-J40</f>
      </c>
      <c r="L40">
        <v>100</v>
      </c>
      <c r="M40">
        <f>IF(K40&lt;=L40,"库存不足","正常")</f>
      </c>
    </row>
    <row r="41" spans="1:13" x14ac:dyDescent="0.25">
      <c r="A41" t="s">
        <v>140</v>
      </c>
      <c r="B41" t="s">
        <v>117</v>
      </c>
      <c r="C41" t="s">
        <v>141</v>
      </c>
      <c r="D41" t="s">
        <v>119</v>
      </c>
      <c r="E41" t="s">
        <v>120</v>
      </c>
      <c r="F41" t="s">
        <v>73</v>
      </c>
      <c r="G41" t="s">
        <v>15</v>
      </c>
      <c r="H41">
        <v>0</v>
      </c>
      <c r="I41">
        <f>SUMIFS(入库记录表!$G:$G,入库记录表!$C:$C,$A41)</f>
      </c>
      <c r="J41">
        <f>SUMIFS(出库领料记录表!$J:$J,出库领料记录表!$F:$F,$A41)</f>
      </c>
      <c r="K41">
        <f>H41+I41-J41</f>
      </c>
      <c r="L41">
        <v>100</v>
      </c>
      <c r="M41">
        <f>IF(K41&lt;=L41,"库存不足","正常")</f>
      </c>
    </row>
    <row r="42" spans="1:13" x14ac:dyDescent="0.25">
      <c r="A42" t="s">
        <v>142</v>
      </c>
      <c r="B42" t="s">
        <v>143</v>
      </c>
      <c r="C42" t="s">
        <v>122</v>
      </c>
      <c r="D42" t="s">
        <v>119</v>
      </c>
      <c r="E42" t="s">
        <v>120</v>
      </c>
      <c r="F42" t="s">
        <v>73</v>
      </c>
      <c r="G42" t="s">
        <v>15</v>
      </c>
      <c r="H42">
        <v>0</v>
      </c>
      <c r="I42">
        <f>SUMIFS(入库记录表!$G:$G,入库记录表!$C:$C,$A42)</f>
      </c>
      <c r="J42">
        <f>SUMIFS(出库领料记录表!$J:$J,出库领料记录表!$F:$F,$A42)</f>
      </c>
      <c r="K42">
        <f>H42+I42-J42</f>
      </c>
      <c r="L42">
        <v>100</v>
      </c>
      <c r="M42">
        <f>IF(K42&lt;=L42,"库存不足","正常")</f>
      </c>
    </row>
    <row r="43" spans="1:13" x14ac:dyDescent="0.25">
      <c r="A43" t="s">
        <v>144</v>
      </c>
      <c r="B43" t="s">
        <v>145</v>
      </c>
      <c r="C43" t="s">
        <v>94</v>
      </c>
      <c r="D43" t="s">
        <v>12</v>
      </c>
      <c r="E43" t="s">
        <v>39</v>
      </c>
      <c r="F43" t="s">
        <v>73</v>
      </c>
      <c r="G43" t="s">
        <v>15</v>
      </c>
      <c r="H43">
        <v>0</v>
      </c>
      <c r="I43">
        <f>SUMIFS(入库记录表!$G:$G,入库记录表!$C:$C,$A43)</f>
      </c>
      <c r="J43">
        <f>SUMIFS(出库领料记录表!$J:$J,出库领料记录表!$F:$F,$A43)</f>
      </c>
      <c r="K43">
        <f>H43+I43-J43</f>
      </c>
      <c r="L43">
        <v>2000</v>
      </c>
      <c r="M43">
        <f>IF(K43&lt;=L43,"库存不足","正常")</f>
      </c>
    </row>
    <row r="44" spans="1:13" x14ac:dyDescent="0.25">
      <c r="A44" t="s">
        <v>146</v>
      </c>
      <c r="B44" t="s">
        <v>147</v>
      </c>
      <c r="C44" t="s">
        <v>94</v>
      </c>
      <c r="D44" t="s">
        <v>12</v>
      </c>
      <c r="E44" t="s">
        <v>39</v>
      </c>
      <c r="F44" t="s">
        <v>73</v>
      </c>
      <c r="G44" t="s">
        <v>15</v>
      </c>
      <c r="H44">
        <v>0</v>
      </c>
      <c r="I44">
        <f>SUMIFS(入库记录表!$G:$G,入库记录表!$C:$C,$A44)</f>
      </c>
      <c r="J44">
        <f>SUMIFS(出库领料记录表!$J:$J,出库领料记录表!$F:$F,$A44)</f>
      </c>
      <c r="K44">
        <f>H44+I44-J44</f>
      </c>
      <c r="L44">
        <v>500</v>
      </c>
      <c r="M44">
        <f>IF(K44&lt;=L44,"库存不足","正常")</f>
      </c>
    </row>
    <row r="45" spans="1:13" x14ac:dyDescent="0.25">
      <c r="A45" t="s">
        <v>148</v>
      </c>
      <c r="B45" t="s">
        <v>149</v>
      </c>
      <c r="C45" t="s">
        <v>99</v>
      </c>
      <c r="D45" t="s">
        <v>12</v>
      </c>
      <c r="E45" t="s">
        <v>39</v>
      </c>
      <c r="F45" t="s">
        <v>73</v>
      </c>
      <c r="G45" t="s">
        <v>15</v>
      </c>
      <c r="H45">
        <v>0</v>
      </c>
      <c r="I45">
        <f>SUMIFS(入库记录表!$G:$G,入库记录表!$C:$C,$A45)</f>
      </c>
      <c r="J45">
        <f>SUMIFS(出库领料记录表!$J:$J,出库领料记录表!$F:$F,$A45)</f>
      </c>
      <c r="K45">
        <f>H45+I45-J45</f>
      </c>
      <c r="L45">
        <v>200</v>
      </c>
      <c r="M45">
        <f>IF(K45&lt;=L45,"库存不足","正常")</f>
      </c>
    </row>
    <row r="46" spans="1:13" x14ac:dyDescent="0.25">
      <c r="A46" t="s">
        <v>150</v>
      </c>
      <c r="B46" t="s">
        <v>80</v>
      </c>
      <c r="C46" t="s">
        <v>11</v>
      </c>
      <c r="D46" t="s">
        <v>87</v>
      </c>
      <c r="E46" t="s">
        <v>60</v>
      </c>
      <c r="F46" t="s">
        <v>73</v>
      </c>
      <c r="G46" t="s">
        <v>15</v>
      </c>
      <c r="H46">
        <v>0</v>
      </c>
      <c r="I46">
        <f>SUMIFS(入库记录表!$G:$G,入库记录表!$C:$C,$A46)</f>
      </c>
      <c r="J46">
        <f>SUMIFS(出库领料记录表!$J:$J,出库领料记录表!$F:$F,$A46)</f>
      </c>
      <c r="K46">
        <f>H46+I46-J46</f>
      </c>
      <c r="L46">
        <v>1000</v>
      </c>
      <c r="M46">
        <f>IF(K46&lt;=L46,"库存不足","正常")</f>
      </c>
    </row>
    <row r="47" spans="1:13" x14ac:dyDescent="0.25">
      <c r="A47" t="s">
        <v>151</v>
      </c>
      <c r="B47" t="s">
        <v>137</v>
      </c>
      <c r="C47" t="s">
        <v>152</v>
      </c>
      <c r="D47" t="s">
        <v>12</v>
      </c>
      <c r="E47" t="s">
        <v>50</v>
      </c>
      <c r="F47" t="s">
        <v>73</v>
      </c>
      <c r="G47" t="s">
        <v>15</v>
      </c>
      <c r="H47">
        <v>0</v>
      </c>
      <c r="I47">
        <f>SUMIFS(入库记录表!$G:$G,入库记录表!$C:$C,$A47)</f>
      </c>
      <c r="J47">
        <f>SUMIFS(出库领料记录表!$J:$J,出库领料记录表!$F:$F,$A47)</f>
      </c>
      <c r="K47">
        <f>H47+I47-J47</f>
      </c>
      <c r="L47">
        <v>1000</v>
      </c>
      <c r="M47">
        <f>IF(K47&lt;=L47,"库存不足","正常")</f>
      </c>
    </row>
    <row r="48" spans="1:13" x14ac:dyDescent="0.25">
      <c r="A48" t="s">
        <v>153</v>
      </c>
      <c r="B48" t="s">
        <v>145</v>
      </c>
      <c r="C48" t="s">
        <v>152</v>
      </c>
      <c r="D48" t="s">
        <v>12</v>
      </c>
      <c r="E48" t="s">
        <v>50</v>
      </c>
      <c r="F48" t="s">
        <v>73</v>
      </c>
      <c r="G48" t="s">
        <v>15</v>
      </c>
      <c r="H48">
        <v>0</v>
      </c>
      <c r="I48">
        <f>SUMIFS(入库记录表!$G:$G,入库记录表!$C:$C,$A48)</f>
      </c>
      <c r="J48">
        <f>SUMIFS(出库领料记录表!$J:$J,出库领料记录表!$F:$F,$A48)</f>
      </c>
      <c r="K48">
        <f>H48+I48-J48</f>
      </c>
      <c r="L48">
        <v>1000</v>
      </c>
      <c r="M48">
        <f>IF(K48&lt;=L48,"库存不足","正常")</f>
      </c>
    </row>
    <row r="49" spans="1:13" x14ac:dyDescent="0.25">
      <c r="A49" t="s">
        <v>154</v>
      </c>
      <c r="B49" t="s">
        <v>155</v>
      </c>
      <c r="C49" t="s">
        <v>156</v>
      </c>
      <c r="D49" t="s">
        <v>12</v>
      </c>
      <c r="E49" t="s">
        <v>50</v>
      </c>
      <c r="F49" t="s">
        <v>73</v>
      </c>
      <c r="G49" t="s">
        <v>15</v>
      </c>
      <c r="H49">
        <v>0</v>
      </c>
      <c r="I49">
        <f>SUMIFS(入库记录表!$G:$G,入库记录表!$C:$C,$A49)</f>
      </c>
      <c r="J49">
        <f>SUMIFS(出库领料记录表!$J:$J,出库领料记录表!$F:$F,$A49)</f>
      </c>
      <c r="K49">
        <f>H49+I49-J49</f>
      </c>
      <c r="L49">
        <v>300</v>
      </c>
      <c r="M49">
        <f>IF(K49&lt;=L49,"库存不足","正常")</f>
      </c>
    </row>
    <row r="50" spans="1:13" x14ac:dyDescent="0.25">
      <c r="A50" t="s">
        <v>157</v>
      </c>
      <c r="B50" t="s">
        <v>158</v>
      </c>
      <c r="C50" t="s">
        <v>159</v>
      </c>
      <c r="D50" t="s">
        <v>12</v>
      </c>
      <c r="E50" t="s">
        <v>60</v>
      </c>
      <c r="F50" t="s">
        <v>73</v>
      </c>
      <c r="G50" t="s">
        <v>15</v>
      </c>
      <c r="H50">
        <v>0</v>
      </c>
      <c r="I50">
        <f>SUMIFS(入库记录表!$G:$G,入库记录表!$C:$C,$A50)</f>
      </c>
      <c r="J50">
        <f>SUMIFS(出库领料记录表!$J:$J,出库领料记录表!$F:$F,$A50)</f>
      </c>
      <c r="K50">
        <f>H50+I50-J50</f>
      </c>
      <c r="L50">
        <v>300</v>
      </c>
      <c r="M50">
        <f>IF(K50&lt;=L50,"库存不足","正常")</f>
      </c>
    </row>
    <row r="51" spans="1:13" x14ac:dyDescent="0.25">
      <c r="A51" t="s">
        <v>160</v>
      </c>
      <c r="B51" t="s">
        <v>137</v>
      </c>
      <c r="C51" t="s">
        <v>161</v>
      </c>
      <c r="D51" t="s">
        <v>12</v>
      </c>
      <c r="E51" t="s">
        <v>162</v>
      </c>
      <c r="F51" t="s">
        <v>73</v>
      </c>
      <c r="G51" t="s">
        <v>15</v>
      </c>
      <c r="H51">
        <v>0</v>
      </c>
      <c r="I51">
        <f>SUMIFS(入库记录表!$G:$G,入库记录表!$C:$C,$A51)</f>
      </c>
      <c r="J51">
        <f>SUMIFS(出库领料记录表!$J:$J,出库领料记录表!$F:$F,$A51)</f>
      </c>
      <c r="K51">
        <f>H51+I51-J51</f>
      </c>
      <c r="L51">
        <v>500</v>
      </c>
      <c r="M51">
        <f>IF(K51&lt;=L51,"库存不足","正常")</f>
      </c>
    </row>
    <row r="52" spans="1:13" x14ac:dyDescent="0.25">
      <c r="A52" t="s">
        <v>163</v>
      </c>
      <c r="B52" t="s">
        <v>164</v>
      </c>
      <c r="C52" t="s">
        <v>161</v>
      </c>
      <c r="D52" t="s">
        <v>12</v>
      </c>
      <c r="E52" t="s">
        <v>162</v>
      </c>
      <c r="F52" t="s">
        <v>73</v>
      </c>
      <c r="G52" t="s">
        <v>15</v>
      </c>
      <c r="H52">
        <v>0</v>
      </c>
      <c r="I52">
        <f>SUMIFS(入库记录表!$G:$G,入库记录表!$C:$C,$A52)</f>
      </c>
      <c r="J52">
        <f>SUMIFS(出库领料记录表!$J:$J,出库领料记录表!$F:$F,$A52)</f>
      </c>
      <c r="K52">
        <f>H52+I52-J52</f>
      </c>
      <c r="L52">
        <v>500</v>
      </c>
      <c r="M52">
        <f>IF(K52&lt;=L52,"库存不足","正常")</f>
      </c>
    </row>
    <row r="53" spans="1:13" x14ac:dyDescent="0.25">
      <c r="A53" t="s">
        <v>165</v>
      </c>
      <c r="B53" t="s">
        <v>166</v>
      </c>
      <c r="C53" t="s">
        <v>106</v>
      </c>
      <c r="D53" t="s">
        <v>12</v>
      </c>
      <c r="E53" t="s">
        <v>103</v>
      </c>
      <c r="F53" t="s">
        <v>73</v>
      </c>
      <c r="G53" t="s">
        <v>15</v>
      </c>
      <c r="H53">
        <v>0</v>
      </c>
      <c r="I53">
        <f>SUMIFS(入库记录表!$G:$G,入库记录表!$C:$C,$A53)</f>
      </c>
      <c r="J53">
        <f>SUMIFS(出库领料记录表!$J:$J,出库领料记录表!$F:$F,$A53)</f>
      </c>
      <c r="K53">
        <f>H53+I53-J53</f>
      </c>
      <c r="L53">
        <v>200</v>
      </c>
      <c r="M53">
        <f>IF(K53&lt;=L53,"库存不足","正常")</f>
      </c>
    </row>
    <row r="54" spans="1:13" x14ac:dyDescent="0.25">
      <c r="A54" t="s">
        <v>167</v>
      </c>
      <c r="B54" t="s">
        <v>168</v>
      </c>
      <c r="C54" t="s">
        <v>169</v>
      </c>
      <c r="D54" t="s">
        <v>12</v>
      </c>
      <c r="E54" t="s">
        <v>103</v>
      </c>
      <c r="F54" t="s">
        <v>73</v>
      </c>
      <c r="G54" t="s">
        <v>15</v>
      </c>
      <c r="H54">
        <v>0</v>
      </c>
      <c r="I54">
        <f>SUMIFS(入库记录表!$G:$G,入库记录表!$C:$C,$A54)</f>
      </c>
      <c r="J54">
        <f>SUMIFS(出库领料记录表!$J:$J,出库领料记录表!$F:$F,$A54)</f>
      </c>
      <c r="K54">
        <f>H54+I54-J54</f>
      </c>
      <c r="L54">
        <v>200</v>
      </c>
      <c r="M54">
        <f>IF(K54&lt;=L54,"库存不足","正常")</f>
      </c>
    </row>
    <row r="55" spans="1:13" x14ac:dyDescent="0.25">
      <c r="A55" t="s">
        <v>170</v>
      </c>
      <c r="B55" t="s">
        <v>171</v>
      </c>
      <c r="C55" t="s">
        <v>11</v>
      </c>
      <c r="D55" t="s">
        <v>59</v>
      </c>
      <c r="E55" t="s">
        <v>172</v>
      </c>
      <c r="F55" t="s">
        <v>173</v>
      </c>
      <c r="G55" t="s">
        <v>23</v>
      </c>
      <c r="H55">
        <v>0</v>
      </c>
      <c r="I55">
        <f>SUMIFS(入库记录表!$G:$G,入库记录表!$C:$C,$A55)</f>
      </c>
      <c r="J55">
        <f>SUMIFS(出库领料记录表!$J:$J,出库领料记录表!$F:$F,$A55)</f>
      </c>
      <c r="K55">
        <f>H55+I55-J55</f>
      </c>
      <c r="L55">
        <v>500</v>
      </c>
      <c r="M55">
        <f>IF(K55&lt;=L55,"库存不足","正常")</f>
      </c>
    </row>
  </sheetData>
  <autoFilter ref="A1:M55"/>
  <conditionalFormatting sqref="A2:M55">
    <cfRule type="expression" dxfId="0" priority="1">
      <formula>$K2&lt;=$L2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物料档案表</vt:lpstr>
      <vt:lpstr>BOM配方表</vt:lpstr>
      <vt:lpstr>入库记录表</vt:lpstr>
      <vt:lpstr>出库领料记录表</vt:lpstr>
      <vt:lpstr>实时库存余额表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2026-08-08T07:01:20Z</dcterms:created>
  <dcterms:modified xsi:type="dcterms:W3CDTF">2026-08-08T07:01:20Z</dcterms:modified>
</cp:coreProperties>
</file>